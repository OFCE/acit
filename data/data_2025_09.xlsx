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be\github\trec\data\"/>
    </mc:Choice>
  </mc:AlternateContent>
  <xr:revisionPtr revIDLastSave="0" documentId="13_ncr:1_{BD02F62F-1ECF-4D74-BF69-C90274BBDD6B}" xr6:coauthVersionLast="47" xr6:coauthVersionMax="47" xr10:uidLastSave="{00000000-0000-0000-0000-000000000000}"/>
  <bookViews>
    <workbookView xWindow="3420" yWindow="840" windowWidth="33130" windowHeight="20040" activeTab="7" xr2:uid="{00000000-000D-0000-FFFF-FFFF00000000}"/>
  </bookViews>
  <sheets>
    <sheet name="Métadonnées" sheetId="2" r:id="rId1"/>
    <sheet name="Graphique1" sheetId="3" r:id="rId2"/>
    <sheet name="Niveau" sheetId="1" r:id="rId3"/>
    <sheet name="Graphique2" sheetId="5" r:id="rId4"/>
    <sheet name="Graphique3" sheetId="6" r:id="rId5"/>
    <sheet name="Graphique4" sheetId="7" r:id="rId6"/>
    <sheet name="Variations" sheetId="4" r:id="rId7"/>
    <sheet name="Variations 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125" i="4" l="1"/>
  <c r="CL125" i="4" s="1"/>
  <c r="CM125" i="4" s="1"/>
  <c r="CN125" i="4" s="1"/>
  <c r="CO125" i="4" s="1"/>
  <c r="CP125" i="4" s="1"/>
  <c r="CQ125" i="4" s="1"/>
  <c r="CR125" i="4" s="1"/>
  <c r="CS125" i="4" s="1"/>
  <c r="CT125" i="4" s="1"/>
  <c r="CU125" i="4" s="1"/>
  <c r="CV125" i="4" s="1"/>
  <c r="CW125" i="4" s="1"/>
  <c r="CX125" i="4" s="1"/>
  <c r="CY125" i="4" s="1"/>
  <c r="CZ125" i="4" s="1"/>
  <c r="DA125" i="4" s="1"/>
  <c r="DB125" i="4" s="1"/>
  <c r="DC125" i="4" s="1"/>
  <c r="DD125" i="4" s="1"/>
  <c r="DE125" i="4" s="1"/>
  <c r="DF125" i="4" s="1"/>
  <c r="DG125" i="4" s="1"/>
  <c r="DH125" i="4" s="1"/>
  <c r="DI125" i="4" s="1"/>
  <c r="DJ125" i="4" s="1"/>
  <c r="DK125" i="4" s="1"/>
  <c r="DL125" i="4" s="1"/>
  <c r="CJ125" i="4"/>
  <c r="CI125" i="4"/>
  <c r="CJ128" i="4"/>
  <c r="CJ95" i="4"/>
  <c r="CK95" i="4"/>
  <c r="CL95" i="4"/>
  <c r="CL121" i="4" s="1"/>
  <c r="CM95" i="4"/>
  <c r="CN95" i="4"/>
  <c r="CO95" i="4"/>
  <c r="CP95" i="4"/>
  <c r="CP121" i="4" s="1"/>
  <c r="CQ117" i="4" s="1"/>
  <c r="CQ95" i="4"/>
  <c r="CR95" i="4"/>
  <c r="CS95" i="4"/>
  <c r="CT95" i="4"/>
  <c r="CU95" i="4"/>
  <c r="CU121" i="4" s="1"/>
  <c r="CV117" i="4" s="1"/>
  <c r="CV95" i="4"/>
  <c r="CW95" i="4"/>
  <c r="CX95" i="4"/>
  <c r="CY95" i="4"/>
  <c r="CZ95" i="4"/>
  <c r="CZ121" i="4" s="1"/>
  <c r="DA95" i="4"/>
  <c r="DB95" i="4"/>
  <c r="DC95" i="4"/>
  <c r="DD95" i="4"/>
  <c r="DD121" i="4" s="1"/>
  <c r="DE117" i="4" s="1"/>
  <c r="DE95" i="4"/>
  <c r="DF95" i="4"/>
  <c r="DG95" i="4"/>
  <c r="DH95" i="4"/>
  <c r="DI95" i="4"/>
  <c r="DI121" i="4" s="1"/>
  <c r="DJ117" i="4" s="1"/>
  <c r="DJ95" i="4"/>
  <c r="DK95" i="4"/>
  <c r="DL95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V121" i="4" s="1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J121" i="4" s="1"/>
  <c r="DK96" i="4"/>
  <c r="DL96" i="4"/>
  <c r="CM114" i="4"/>
  <c r="CN114" i="4"/>
  <c r="CO114" i="4"/>
  <c r="CP114" i="4"/>
  <c r="CQ114" i="4"/>
  <c r="X76" i="1"/>
  <c r="W76" i="1"/>
  <c r="V76" i="1"/>
  <c r="U76" i="1"/>
  <c r="T76" i="1"/>
  <c r="CK112" i="4"/>
  <c r="CL112" i="4"/>
  <c r="CM112" i="4"/>
  <c r="CN112" i="4"/>
  <c r="CO112" i="4"/>
  <c r="CP112" i="4"/>
  <c r="CQ112" i="4"/>
  <c r="CR112" i="4"/>
  <c r="CR114" i="4" s="1"/>
  <c r="CS112" i="4"/>
  <c r="CS114" i="4" s="1"/>
  <c r="CT112" i="4"/>
  <c r="CU112" i="4"/>
  <c r="CU114" i="4" s="1"/>
  <c r="CV112" i="4"/>
  <c r="CV114" i="4" s="1"/>
  <c r="CW112" i="4"/>
  <c r="CX112" i="4"/>
  <c r="CX114" i="4" s="1"/>
  <c r="CY112" i="4"/>
  <c r="CZ112" i="4"/>
  <c r="DA112" i="4"/>
  <c r="DA114" i="4" s="1"/>
  <c r="DB112" i="4"/>
  <c r="DB114" i="4" s="1"/>
  <c r="DC112" i="4"/>
  <c r="DC114" i="4" s="1"/>
  <c r="DD112" i="4"/>
  <c r="DD114" i="4" s="1"/>
  <c r="DE112" i="4"/>
  <c r="DE114" i="4" s="1"/>
  <c r="DF112" i="4"/>
  <c r="DF114" i="4" s="1"/>
  <c r="DG112" i="4"/>
  <c r="DG114" i="4" s="1"/>
  <c r="DH112" i="4"/>
  <c r="DI112" i="4"/>
  <c r="DI114" i="4" s="1"/>
  <c r="DJ112" i="4"/>
  <c r="DK112" i="4"/>
  <c r="DK114" i="4" s="1"/>
  <c r="DL112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CJ113" i="4"/>
  <c r="CJ112" i="4"/>
  <c r="CJ114" i="4" s="1"/>
  <c r="CI96" i="4"/>
  <c r="CI95" i="4"/>
  <c r="CI121" i="4" s="1"/>
  <c r="CJ117" i="4" s="1"/>
  <c r="DL76" i="4"/>
  <c r="DL77" i="4"/>
  <c r="DL105" i="4" s="1"/>
  <c r="DL78" i="4"/>
  <c r="DK76" i="4"/>
  <c r="DK77" i="4"/>
  <c r="DK105" i="4" s="1"/>
  <c r="DK78" i="4"/>
  <c r="DJ76" i="4"/>
  <c r="DJ77" i="4"/>
  <c r="DJ105" i="4" s="1"/>
  <c r="DJ78" i="4"/>
  <c r="DI76" i="4"/>
  <c r="DI77" i="4"/>
  <c r="DI105" i="4" s="1"/>
  <c r="DI78" i="4"/>
  <c r="DH76" i="4"/>
  <c r="DH77" i="4"/>
  <c r="DH105" i="4" s="1"/>
  <c r="DH78" i="4"/>
  <c r="DG76" i="4"/>
  <c r="DG77" i="4"/>
  <c r="DG105" i="4" s="1"/>
  <c r="DG78" i="4"/>
  <c r="DF76" i="4"/>
  <c r="DF77" i="4"/>
  <c r="DF105" i="4" s="1"/>
  <c r="DF78" i="4"/>
  <c r="DE76" i="4"/>
  <c r="DE77" i="4"/>
  <c r="DE105" i="4" s="1"/>
  <c r="DE78" i="4"/>
  <c r="DD76" i="4"/>
  <c r="DD77" i="4"/>
  <c r="DD105" i="4" s="1"/>
  <c r="DD78" i="4"/>
  <c r="DC76" i="4"/>
  <c r="DC77" i="4"/>
  <c r="DC105" i="4" s="1"/>
  <c r="DC78" i="4"/>
  <c r="DB76" i="4"/>
  <c r="DB77" i="4"/>
  <c r="DB105" i="4" s="1"/>
  <c r="DB78" i="4"/>
  <c r="DA76" i="4"/>
  <c r="DA77" i="4"/>
  <c r="DA105" i="4" s="1"/>
  <c r="DA78" i="4"/>
  <c r="CZ76" i="4"/>
  <c r="CZ77" i="4"/>
  <c r="CZ105" i="4" s="1"/>
  <c r="CZ78" i="4"/>
  <c r="CY76" i="4"/>
  <c r="CY77" i="4"/>
  <c r="CY105" i="4" s="1"/>
  <c r="CY78" i="4"/>
  <c r="CX76" i="4"/>
  <c r="CX77" i="4"/>
  <c r="CX105" i="4" s="1"/>
  <c r="CX78" i="4"/>
  <c r="CW76" i="4"/>
  <c r="CW77" i="4"/>
  <c r="CW105" i="4" s="1"/>
  <c r="CW78" i="4"/>
  <c r="CV76" i="4"/>
  <c r="CV77" i="4"/>
  <c r="CV105" i="4" s="1"/>
  <c r="CV78" i="4"/>
  <c r="CU76" i="4"/>
  <c r="CU77" i="4"/>
  <c r="CU105" i="4" s="1"/>
  <c r="CU78" i="4"/>
  <c r="CT76" i="4"/>
  <c r="CT77" i="4"/>
  <c r="CT105" i="4" s="1"/>
  <c r="CT78" i="4"/>
  <c r="CS76" i="4"/>
  <c r="CS77" i="4"/>
  <c r="CS105" i="4" s="1"/>
  <c r="CS78" i="4"/>
  <c r="CR76" i="4"/>
  <c r="CR77" i="4"/>
  <c r="CR105" i="4" s="1"/>
  <c r="CR78" i="4"/>
  <c r="CQ76" i="4"/>
  <c r="CQ77" i="4"/>
  <c r="CQ105" i="4" s="1"/>
  <c r="CQ78" i="4"/>
  <c r="CP76" i="4"/>
  <c r="CP77" i="4"/>
  <c r="CP105" i="4" s="1"/>
  <c r="CP78" i="4"/>
  <c r="CO76" i="4"/>
  <c r="CO77" i="4"/>
  <c r="CO105" i="4" s="1"/>
  <c r="CO78" i="4"/>
  <c r="CN76" i="4"/>
  <c r="CN77" i="4"/>
  <c r="CN105" i="4" s="1"/>
  <c r="CN78" i="4"/>
  <c r="CM76" i="4"/>
  <c r="CM77" i="4"/>
  <c r="CM105" i="4" s="1"/>
  <c r="CM78" i="4"/>
  <c r="CL76" i="4"/>
  <c r="CL77" i="4"/>
  <c r="CL105" i="4" s="1"/>
  <c r="CL78" i="4"/>
  <c r="CK76" i="4"/>
  <c r="CK77" i="4"/>
  <c r="CK105" i="4" s="1"/>
  <c r="CK78" i="4"/>
  <c r="CJ76" i="4"/>
  <c r="CJ77" i="4"/>
  <c r="CJ105" i="4" s="1"/>
  <c r="CJ78" i="4"/>
  <c r="T73" i="1"/>
  <c r="CU90" i="4"/>
  <c r="CU99" i="4" s="1"/>
  <c r="CV90" i="4"/>
  <c r="CV99" i="4" s="1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CJ87" i="4"/>
  <c r="CJ86" i="4"/>
  <c r="CJ82" i="4"/>
  <c r="CJ83" i="4" s="1"/>
  <c r="CL82" i="4"/>
  <c r="CL83" i="4" s="1"/>
  <c r="CM82" i="4"/>
  <c r="CM83" i="4" s="1"/>
  <c r="CN82" i="4"/>
  <c r="CN83" i="4" s="1"/>
  <c r="CO82" i="4"/>
  <c r="CO83" i="4" s="1"/>
  <c r="CP82" i="4"/>
  <c r="CP83" i="4" s="1"/>
  <c r="CQ82" i="4"/>
  <c r="CQ83" i="4" s="1"/>
  <c r="CQ108" i="4" s="1"/>
  <c r="CR82" i="4"/>
  <c r="CR83" i="4" s="1"/>
  <c r="CR108" i="4" s="1"/>
  <c r="CS82" i="4"/>
  <c r="CS83" i="4" s="1"/>
  <c r="CS109" i="4" s="1"/>
  <c r="CT82" i="4"/>
  <c r="CT83" i="4" s="1"/>
  <c r="CT109" i="4" s="1"/>
  <c r="CU82" i="4"/>
  <c r="CU83" i="4" s="1"/>
  <c r="CU109" i="4" s="1"/>
  <c r="CV82" i="4"/>
  <c r="CV83" i="4" s="1"/>
  <c r="CW82" i="4"/>
  <c r="CW83" i="4" s="1"/>
  <c r="CX82" i="4"/>
  <c r="CX83" i="4" s="1"/>
  <c r="CX109" i="4" s="1"/>
  <c r="CY82" i="4"/>
  <c r="CY83" i="4" s="1"/>
  <c r="CY109" i="4" s="1"/>
  <c r="CZ82" i="4"/>
  <c r="CZ83" i="4" s="1"/>
  <c r="CZ109" i="4" s="1"/>
  <c r="DA82" i="4"/>
  <c r="DA83" i="4" s="1"/>
  <c r="DB82" i="4"/>
  <c r="DB83" i="4" s="1"/>
  <c r="DC82" i="4"/>
  <c r="DC83" i="4" s="1"/>
  <c r="DD82" i="4"/>
  <c r="DD83" i="4" s="1"/>
  <c r="DE82" i="4"/>
  <c r="DE83" i="4" s="1"/>
  <c r="DE109" i="4" s="1"/>
  <c r="DF82" i="4"/>
  <c r="DF83" i="4" s="1"/>
  <c r="DF108" i="4" s="1"/>
  <c r="DG82" i="4"/>
  <c r="DG83" i="4" s="1"/>
  <c r="DG109" i="4" s="1"/>
  <c r="DH82" i="4"/>
  <c r="DH83" i="4" s="1"/>
  <c r="DH109" i="4" s="1"/>
  <c r="DI82" i="4"/>
  <c r="DI83" i="4" s="1"/>
  <c r="DI109" i="4" s="1"/>
  <c r="DJ82" i="4"/>
  <c r="DJ83" i="4" s="1"/>
  <c r="DK82" i="4"/>
  <c r="DK83" i="4" s="1"/>
  <c r="DL82" i="4"/>
  <c r="DL83" i="4" s="1"/>
  <c r="CK82" i="4"/>
  <c r="CK83" i="4" s="1"/>
  <c r="CK109" i="4" s="1"/>
  <c r="DL74" i="4"/>
  <c r="DK74" i="4"/>
  <c r="DJ74" i="4"/>
  <c r="DI74" i="4"/>
  <c r="DH74" i="4"/>
  <c r="DG74" i="4"/>
  <c r="DF74" i="4"/>
  <c r="DE74" i="4"/>
  <c r="DD74" i="4"/>
  <c r="DC74" i="4"/>
  <c r="DB74" i="4"/>
  <c r="DA74" i="4"/>
  <c r="CZ74" i="4"/>
  <c r="CY74" i="4"/>
  <c r="CX74" i="4"/>
  <c r="CW74" i="4"/>
  <c r="CV74" i="4"/>
  <c r="CU74" i="4"/>
  <c r="CT74" i="4"/>
  <c r="CS74" i="4"/>
  <c r="CR74" i="4"/>
  <c r="CQ74" i="4"/>
  <c r="CP74" i="4"/>
  <c r="CO74" i="4"/>
  <c r="CN74" i="4"/>
  <c r="CM74" i="4"/>
  <c r="CL74" i="4"/>
  <c r="CK74" i="4"/>
  <c r="CJ74" i="4"/>
  <c r="DL73" i="4"/>
  <c r="DK73" i="4"/>
  <c r="DJ73" i="4"/>
  <c r="DI73" i="4"/>
  <c r="DH73" i="4"/>
  <c r="DG73" i="4"/>
  <c r="DF73" i="4"/>
  <c r="DE73" i="4"/>
  <c r="DD73" i="4"/>
  <c r="DC73" i="4"/>
  <c r="DB73" i="4"/>
  <c r="DA73" i="4"/>
  <c r="CZ73" i="4"/>
  <c r="CY73" i="4"/>
  <c r="CX73" i="4"/>
  <c r="CW73" i="4"/>
  <c r="CV73" i="4"/>
  <c r="CU73" i="4"/>
  <c r="CT73" i="4"/>
  <c r="CS73" i="4"/>
  <c r="CR73" i="4"/>
  <c r="CQ73" i="4"/>
  <c r="CP73" i="4"/>
  <c r="CO73" i="4"/>
  <c r="CN73" i="4"/>
  <c r="CM73" i="4"/>
  <c r="CL73" i="4"/>
  <c r="CK73" i="4"/>
  <c r="CJ73" i="4"/>
  <c r="DL72" i="4"/>
  <c r="DL92" i="4" s="1"/>
  <c r="DK72" i="4"/>
  <c r="DK92" i="4" s="1"/>
  <c r="DJ72" i="4"/>
  <c r="DJ92" i="4" s="1"/>
  <c r="DI72" i="4"/>
  <c r="DI92" i="4" s="1"/>
  <c r="DH72" i="4"/>
  <c r="DH92" i="4" s="1"/>
  <c r="DG72" i="4"/>
  <c r="DG92" i="4" s="1"/>
  <c r="DF72" i="4"/>
  <c r="DF92" i="4" s="1"/>
  <c r="DE72" i="4"/>
  <c r="DE92" i="4" s="1"/>
  <c r="DD72" i="4"/>
  <c r="DD92" i="4" s="1"/>
  <c r="DC72" i="4"/>
  <c r="DB72" i="4"/>
  <c r="DB102" i="4" s="1"/>
  <c r="DA72" i="4"/>
  <c r="DA92" i="4" s="1"/>
  <c r="CZ72" i="4"/>
  <c r="CZ92" i="4" s="1"/>
  <c r="CY72" i="4"/>
  <c r="CY102" i="4" s="1"/>
  <c r="CX72" i="4"/>
  <c r="CX102" i="4" s="1"/>
  <c r="CW72" i="4"/>
  <c r="CW102" i="4" s="1"/>
  <c r="CV72" i="4"/>
  <c r="CV102" i="4" s="1"/>
  <c r="CU72" i="4"/>
  <c r="CU102" i="4" s="1"/>
  <c r="CT72" i="4"/>
  <c r="CT92" i="4" s="1"/>
  <c r="CS72" i="4"/>
  <c r="CS92" i="4" s="1"/>
  <c r="CR72" i="4"/>
  <c r="CR92" i="4" s="1"/>
  <c r="CQ72" i="4"/>
  <c r="CQ92" i="4" s="1"/>
  <c r="CP72" i="4"/>
  <c r="CP92" i="4" s="1"/>
  <c r="CO72" i="4"/>
  <c r="CO102" i="4" s="1"/>
  <c r="CN72" i="4"/>
  <c r="CN102" i="4" s="1"/>
  <c r="CM72" i="4"/>
  <c r="CM92" i="4" s="1"/>
  <c r="CL72" i="4"/>
  <c r="CL92" i="4" s="1"/>
  <c r="CK72" i="4"/>
  <c r="CK92" i="4" s="1"/>
  <c r="CJ72" i="4"/>
  <c r="CJ92" i="4" s="1"/>
  <c r="DL70" i="4"/>
  <c r="DK70" i="4"/>
  <c r="DJ70" i="4"/>
  <c r="DI70" i="4"/>
  <c r="DH70" i="4"/>
  <c r="DG70" i="4"/>
  <c r="DF70" i="4"/>
  <c r="DE70" i="4"/>
  <c r="DD70" i="4"/>
  <c r="DC70" i="4"/>
  <c r="DB70" i="4"/>
  <c r="DA70" i="4"/>
  <c r="CZ70" i="4"/>
  <c r="CY70" i="4"/>
  <c r="CX70" i="4"/>
  <c r="CW70" i="4"/>
  <c r="CV70" i="4"/>
  <c r="CU70" i="4"/>
  <c r="CT70" i="4"/>
  <c r="CS70" i="4"/>
  <c r="CR70" i="4"/>
  <c r="CQ70" i="4"/>
  <c r="CP70" i="4"/>
  <c r="CO70" i="4"/>
  <c r="CN70" i="4"/>
  <c r="CM70" i="4"/>
  <c r="CL70" i="4"/>
  <c r="CK70" i="4"/>
  <c r="CJ70" i="4"/>
  <c r="DL69" i="4"/>
  <c r="DL90" i="4" s="1"/>
  <c r="DL99" i="4" s="1"/>
  <c r="DK69" i="4"/>
  <c r="DK90" i="4" s="1"/>
  <c r="DK99" i="4" s="1"/>
  <c r="DJ69" i="4"/>
  <c r="DJ90" i="4" s="1"/>
  <c r="DJ99" i="4" s="1"/>
  <c r="DI69" i="4"/>
  <c r="DI90" i="4" s="1"/>
  <c r="DI99" i="4" s="1"/>
  <c r="DH69" i="4"/>
  <c r="DH90" i="4" s="1"/>
  <c r="DH99" i="4" s="1"/>
  <c r="DG69" i="4"/>
  <c r="DG90" i="4" s="1"/>
  <c r="DG99" i="4" s="1"/>
  <c r="DF69" i="4"/>
  <c r="DF90" i="4" s="1"/>
  <c r="DF99" i="4" s="1"/>
  <c r="DE69" i="4"/>
  <c r="DE90" i="4" s="1"/>
  <c r="DE99" i="4" s="1"/>
  <c r="DD69" i="4"/>
  <c r="DD90" i="4" s="1"/>
  <c r="DD99" i="4" s="1"/>
  <c r="DC69" i="4"/>
  <c r="DC90" i="4" s="1"/>
  <c r="DC99" i="4" s="1"/>
  <c r="DB69" i="4"/>
  <c r="DB90" i="4" s="1"/>
  <c r="DB99" i="4" s="1"/>
  <c r="DA69" i="4"/>
  <c r="DA90" i="4" s="1"/>
  <c r="DA99" i="4" s="1"/>
  <c r="CZ69" i="4"/>
  <c r="CZ90" i="4" s="1"/>
  <c r="CZ99" i="4" s="1"/>
  <c r="CY69" i="4"/>
  <c r="CY90" i="4" s="1"/>
  <c r="CY99" i="4" s="1"/>
  <c r="CX69" i="4"/>
  <c r="CX90" i="4" s="1"/>
  <c r="CX99" i="4" s="1"/>
  <c r="CW69" i="4"/>
  <c r="CW90" i="4" s="1"/>
  <c r="CW99" i="4" s="1"/>
  <c r="CV69" i="4"/>
  <c r="CU69" i="4"/>
  <c r="CT69" i="4"/>
  <c r="CT90" i="4" s="1"/>
  <c r="CT99" i="4" s="1"/>
  <c r="CS69" i="4"/>
  <c r="CS90" i="4" s="1"/>
  <c r="CS99" i="4" s="1"/>
  <c r="CR69" i="4"/>
  <c r="CR90" i="4" s="1"/>
  <c r="CR99" i="4" s="1"/>
  <c r="CQ69" i="4"/>
  <c r="CQ90" i="4" s="1"/>
  <c r="CQ99" i="4" s="1"/>
  <c r="CP69" i="4"/>
  <c r="CP90" i="4" s="1"/>
  <c r="CP99" i="4" s="1"/>
  <c r="CO69" i="4"/>
  <c r="CO90" i="4" s="1"/>
  <c r="CO99" i="4" s="1"/>
  <c r="CN69" i="4"/>
  <c r="CN90" i="4" s="1"/>
  <c r="CN99" i="4" s="1"/>
  <c r="CM69" i="4"/>
  <c r="CM90" i="4" s="1"/>
  <c r="CM99" i="4" s="1"/>
  <c r="CL69" i="4"/>
  <c r="CL90" i="4" s="1"/>
  <c r="CL99" i="4" s="1"/>
  <c r="CK69" i="4"/>
  <c r="CK90" i="4" s="1"/>
  <c r="CK99" i="4" s="1"/>
  <c r="CJ69" i="4"/>
  <c r="CJ90" i="4" s="1"/>
  <c r="CJ99" i="4" s="1"/>
  <c r="DL68" i="4"/>
  <c r="DL89" i="4" s="1"/>
  <c r="DL98" i="4" s="1"/>
  <c r="DK68" i="4"/>
  <c r="DJ68" i="4"/>
  <c r="DI68" i="4"/>
  <c r="DI89" i="4" s="1"/>
  <c r="DI98" i="4" s="1"/>
  <c r="DH68" i="4"/>
  <c r="DH89" i="4" s="1"/>
  <c r="DH98" i="4" s="1"/>
  <c r="DH100" i="4" s="1"/>
  <c r="DG68" i="4"/>
  <c r="DF68" i="4"/>
  <c r="DE68" i="4"/>
  <c r="DD68" i="4"/>
  <c r="DD89" i="4" s="1"/>
  <c r="DD98" i="4" s="1"/>
  <c r="DD100" i="4" s="1"/>
  <c r="DC68" i="4"/>
  <c r="DB68" i="4"/>
  <c r="DA68" i="4"/>
  <c r="CZ68" i="4"/>
  <c r="CY68" i="4"/>
  <c r="CX68" i="4"/>
  <c r="CX89" i="4" s="1"/>
  <c r="CX98" i="4" s="1"/>
  <c r="CX100" i="4" s="1"/>
  <c r="CW68" i="4"/>
  <c r="CV68" i="4"/>
  <c r="CU68" i="4"/>
  <c r="CU89" i="4" s="1"/>
  <c r="CU98" i="4" s="1"/>
  <c r="CT68" i="4"/>
  <c r="CT89" i="4" s="1"/>
  <c r="CT98" i="4" s="1"/>
  <c r="CT100" i="4" s="1"/>
  <c r="CS68" i="4"/>
  <c r="CR68" i="4"/>
  <c r="CQ68" i="4"/>
  <c r="CP68" i="4"/>
  <c r="CP89" i="4" s="1"/>
  <c r="CP98" i="4" s="1"/>
  <c r="CP100" i="4" s="1"/>
  <c r="CO68" i="4"/>
  <c r="CN68" i="4"/>
  <c r="CM68" i="4"/>
  <c r="CL68" i="4"/>
  <c r="CK68" i="4"/>
  <c r="CJ68" i="4"/>
  <c r="CJ89" i="4" s="1"/>
  <c r="CJ98" i="4" s="1"/>
  <c r="CK67" i="4"/>
  <c r="CL67" i="4" s="1"/>
  <c r="CM67" i="4" s="1"/>
  <c r="CN67" i="4" s="1"/>
  <c r="CO67" i="4" s="1"/>
  <c r="CP67" i="4" s="1"/>
  <c r="CQ67" i="4" s="1"/>
  <c r="CR67" i="4" s="1"/>
  <c r="CS67" i="4" s="1"/>
  <c r="CT67" i="4" s="1"/>
  <c r="CU67" i="4" s="1"/>
  <c r="CV67" i="4" s="1"/>
  <c r="CW67" i="4" s="1"/>
  <c r="CX67" i="4" s="1"/>
  <c r="CY67" i="4" s="1"/>
  <c r="CZ67" i="4" s="1"/>
  <c r="DA67" i="4" s="1"/>
  <c r="DB67" i="4" s="1"/>
  <c r="DC67" i="4" s="1"/>
  <c r="DD67" i="4" s="1"/>
  <c r="DE67" i="4" s="1"/>
  <c r="DF67" i="4" s="1"/>
  <c r="DG67" i="4" s="1"/>
  <c r="DH67" i="4" s="1"/>
  <c r="DI67" i="4" s="1"/>
  <c r="DJ67" i="4" s="1"/>
  <c r="DK67" i="4" s="1"/>
  <c r="DL67" i="4" s="1"/>
  <c r="AY45" i="1"/>
  <c r="AY43" i="1"/>
  <c r="AY40" i="1"/>
  <c r="AY38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T70" i="1"/>
  <c r="T69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N66" i="1"/>
  <c r="AO66" i="1"/>
  <c r="AP66" i="1"/>
  <c r="AQ66" i="1"/>
  <c r="AR66" i="1"/>
  <c r="AS66" i="1"/>
  <c r="AT66" i="1"/>
  <c r="AU66" i="1"/>
  <c r="AV66" i="1"/>
  <c r="AW66" i="1"/>
  <c r="AM66" i="1"/>
  <c r="DA117" i="4" l="1"/>
  <c r="CM117" i="4"/>
  <c r="DK117" i="4"/>
  <c r="CW117" i="4"/>
  <c r="DL114" i="4"/>
  <c r="DC121" i="4"/>
  <c r="DJ114" i="4"/>
  <c r="DH114" i="4"/>
  <c r="CK121" i="4"/>
  <c r="DL121" i="4"/>
  <c r="CX121" i="4"/>
  <c r="CJ121" i="4"/>
  <c r="DK121" i="4"/>
  <c r="DL100" i="4"/>
  <c r="CU100" i="4"/>
  <c r="CW121" i="4"/>
  <c r="DH121" i="4"/>
  <c r="CT121" i="4"/>
  <c r="DB121" i="4"/>
  <c r="CN121" i="4"/>
  <c r="CM121" i="4"/>
  <c r="CW114" i="4"/>
  <c r="CO121" i="4"/>
  <c r="DA121" i="4"/>
  <c r="CT114" i="4"/>
  <c r="CY121" i="4"/>
  <c r="DG121" i="4"/>
  <c r="CS121" i="4"/>
  <c r="CZ114" i="4"/>
  <c r="CL114" i="4"/>
  <c r="DF121" i="4"/>
  <c r="CR121" i="4"/>
  <c r="CY114" i="4"/>
  <c r="CK114" i="4"/>
  <c r="CK128" i="4" s="1"/>
  <c r="CL128" i="4" s="1"/>
  <c r="CM128" i="4" s="1"/>
  <c r="CN128" i="4" s="1"/>
  <c r="CO128" i="4" s="1"/>
  <c r="CP128" i="4" s="1"/>
  <c r="CQ128" i="4" s="1"/>
  <c r="CR128" i="4" s="1"/>
  <c r="CS128" i="4" s="1"/>
  <c r="CT128" i="4" s="1"/>
  <c r="CU128" i="4" s="1"/>
  <c r="CV128" i="4" s="1"/>
  <c r="CW128" i="4" s="1"/>
  <c r="CX128" i="4" s="1"/>
  <c r="CY128" i="4" s="1"/>
  <c r="CZ128" i="4" s="1"/>
  <c r="DA128" i="4" s="1"/>
  <c r="DB128" i="4" s="1"/>
  <c r="DC128" i="4" s="1"/>
  <c r="DD128" i="4" s="1"/>
  <c r="DE128" i="4" s="1"/>
  <c r="DF128" i="4" s="1"/>
  <c r="DG128" i="4" s="1"/>
  <c r="DH128" i="4" s="1"/>
  <c r="DI128" i="4" s="1"/>
  <c r="DJ128" i="4" s="1"/>
  <c r="DK128" i="4" s="1"/>
  <c r="DL128" i="4" s="1"/>
  <c r="DE121" i="4"/>
  <c r="CQ121" i="4"/>
  <c r="CI117" i="4"/>
  <c r="CN89" i="4"/>
  <c r="CN98" i="4" s="1"/>
  <c r="CN100" i="4" s="1"/>
  <c r="DB89" i="4"/>
  <c r="DB98" i="4" s="1"/>
  <c r="DB100" i="4" s="1"/>
  <c r="DH102" i="4"/>
  <c r="DI100" i="4"/>
  <c r="CS89" i="4"/>
  <c r="CS98" i="4" s="1"/>
  <c r="CS100" i="4" s="1"/>
  <c r="DG89" i="4"/>
  <c r="DG98" i="4" s="1"/>
  <c r="DG100" i="4" s="1"/>
  <c r="CW104" i="4"/>
  <c r="CW106" i="4" s="1"/>
  <c r="CR102" i="4"/>
  <c r="CK104" i="4"/>
  <c r="CK106" i="4" s="1"/>
  <c r="CY104" i="4"/>
  <c r="CY106" i="4" s="1"/>
  <c r="CO89" i="4"/>
  <c r="CO98" i="4" s="1"/>
  <c r="CO100" i="4" s="1"/>
  <c r="DC89" i="4"/>
  <c r="DC98" i="4" s="1"/>
  <c r="DC100" i="4" s="1"/>
  <c r="CL104" i="4"/>
  <c r="CL106" i="4" s="1"/>
  <c r="DK104" i="4"/>
  <c r="DK106" i="4" s="1"/>
  <c r="DF109" i="4"/>
  <c r="DF110" i="4" s="1"/>
  <c r="DB104" i="4"/>
  <c r="DB106" i="4" s="1"/>
  <c r="CJ100" i="4"/>
  <c r="CJ126" i="4" s="1"/>
  <c r="CJ104" i="4"/>
  <c r="CJ106" i="4" s="1"/>
  <c r="CJ127" i="4" s="1"/>
  <c r="CX104" i="4"/>
  <c r="CX106" i="4" s="1"/>
  <c r="DL104" i="4"/>
  <c r="DL106" i="4" s="1"/>
  <c r="CO104" i="4"/>
  <c r="CO106" i="4" s="1"/>
  <c r="DC104" i="4"/>
  <c r="DC106" i="4" s="1"/>
  <c r="CT104" i="4"/>
  <c r="CT106" i="4" s="1"/>
  <c r="DH104" i="4"/>
  <c r="DH106" i="4" s="1"/>
  <c r="CQ89" i="4"/>
  <c r="CQ98" i="4" s="1"/>
  <c r="CQ100" i="4" s="1"/>
  <c r="DE89" i="4"/>
  <c r="DE98" i="4" s="1"/>
  <c r="DE100" i="4" s="1"/>
  <c r="CR89" i="4"/>
  <c r="CR98" i="4" s="1"/>
  <c r="CR100" i="4" s="1"/>
  <c r="DF89" i="4"/>
  <c r="DF98" i="4" s="1"/>
  <c r="DF100" i="4" s="1"/>
  <c r="DA104" i="4"/>
  <c r="DA106" i="4" s="1"/>
  <c r="DL109" i="4"/>
  <c r="DL108" i="4"/>
  <c r="DL110" i="4" s="1"/>
  <c r="CJ109" i="4"/>
  <c r="CJ108" i="4"/>
  <c r="CJ110" i="4" s="1"/>
  <c r="CL102" i="4"/>
  <c r="CK102" i="4"/>
  <c r="CR109" i="4"/>
  <c r="CR110" i="4" s="1"/>
  <c r="CP104" i="4"/>
  <c r="CP106" i="4" s="1"/>
  <c r="DD104" i="4"/>
  <c r="DD106" i="4" s="1"/>
  <c r="CU104" i="4"/>
  <c r="CU106" i="4" s="1"/>
  <c r="DI104" i="4"/>
  <c r="DI106" i="4" s="1"/>
  <c r="CZ104" i="4"/>
  <c r="CZ106" i="4" s="1"/>
  <c r="DG102" i="4"/>
  <c r="DF102" i="4"/>
  <c r="CV89" i="4"/>
  <c r="CV98" i="4" s="1"/>
  <c r="CV100" i="4" s="1"/>
  <c r="CY92" i="4"/>
  <c r="CV104" i="4"/>
  <c r="CV106" i="4" s="1"/>
  <c r="DJ104" i="4"/>
  <c r="DJ106" i="4" s="1"/>
  <c r="DJ119" i="4" s="1"/>
  <c r="DJ123" i="4" s="1"/>
  <c r="DA102" i="4"/>
  <c r="CK89" i="4"/>
  <c r="CK98" i="4" s="1"/>
  <c r="CK100" i="4" s="1"/>
  <c r="CY89" i="4"/>
  <c r="CY98" i="4" s="1"/>
  <c r="CY100" i="4" s="1"/>
  <c r="CW89" i="4"/>
  <c r="CW98" i="4" s="1"/>
  <c r="CW100" i="4" s="1"/>
  <c r="DK89" i="4"/>
  <c r="DK98" i="4" s="1"/>
  <c r="DK100" i="4" s="1"/>
  <c r="CX92" i="4"/>
  <c r="CM104" i="4"/>
  <c r="CM106" i="4" s="1"/>
  <c r="CZ102" i="4"/>
  <c r="CL89" i="4"/>
  <c r="CL98" i="4" s="1"/>
  <c r="CL100" i="4" s="1"/>
  <c r="CZ89" i="4"/>
  <c r="CZ98" i="4" s="1"/>
  <c r="CZ100" i="4" s="1"/>
  <c r="CO92" i="4"/>
  <c r="CN104" i="4"/>
  <c r="CN106" i="4" s="1"/>
  <c r="CT102" i="4"/>
  <c r="CN92" i="4"/>
  <c r="CS102" i="4"/>
  <c r="CN109" i="4"/>
  <c r="CN108" i="4"/>
  <c r="CN110" i="4" s="1"/>
  <c r="CM109" i="4"/>
  <c r="CM108" i="4"/>
  <c r="CM110" i="4" s="1"/>
  <c r="CL109" i="4"/>
  <c r="CL108" i="4"/>
  <c r="CL110" i="4" s="1"/>
  <c r="DB109" i="4"/>
  <c r="DB108" i="4"/>
  <c r="DB110" i="4" s="1"/>
  <c r="DA109" i="4"/>
  <c r="DA108" i="4"/>
  <c r="DD108" i="4"/>
  <c r="DD109" i="4"/>
  <c r="CP108" i="4"/>
  <c r="CP109" i="4"/>
  <c r="DC108" i="4"/>
  <c r="DC109" i="4"/>
  <c r="CO108" i="4"/>
  <c r="CO109" i="4"/>
  <c r="CV92" i="4"/>
  <c r="DE104" i="4"/>
  <c r="DE106" i="4" s="1"/>
  <c r="CK108" i="4"/>
  <c r="CK110" i="4" s="1"/>
  <c r="CM89" i="4"/>
  <c r="CM98" i="4" s="1"/>
  <c r="CM100" i="4" s="1"/>
  <c r="CQ109" i="4"/>
  <c r="CQ110" i="4" s="1"/>
  <c r="CW92" i="4"/>
  <c r="DE108" i="4"/>
  <c r="DE110" i="4" s="1"/>
  <c r="CU92" i="4"/>
  <c r="DK109" i="4"/>
  <c r="DK108" i="4"/>
  <c r="DK110" i="4" s="1"/>
  <c r="CV109" i="4"/>
  <c r="CV108" i="4"/>
  <c r="CV110" i="4" s="1"/>
  <c r="CV119" i="4" s="1"/>
  <c r="CV123" i="4" s="1"/>
  <c r="DJ109" i="4"/>
  <c r="DJ108" i="4"/>
  <c r="DJ110" i="4" s="1"/>
  <c r="DF104" i="4"/>
  <c r="DF106" i="4" s="1"/>
  <c r="CQ104" i="4"/>
  <c r="CQ106" i="4" s="1"/>
  <c r="CW109" i="4"/>
  <c r="CW108" i="4"/>
  <c r="CW110" i="4" s="1"/>
  <c r="DA89" i="4"/>
  <c r="DA98" i="4" s="1"/>
  <c r="DA100" i="4" s="1"/>
  <c r="CR104" i="4"/>
  <c r="CR106" i="4" s="1"/>
  <c r="DC92" i="4"/>
  <c r="DC102" i="4"/>
  <c r="CZ108" i="4"/>
  <c r="CZ110" i="4" s="1"/>
  <c r="CS104" i="4"/>
  <c r="CS106" i="4" s="1"/>
  <c r="DG104" i="4"/>
  <c r="DG106" i="4" s="1"/>
  <c r="CJ102" i="4"/>
  <c r="CY108" i="4"/>
  <c r="CY110" i="4" s="1"/>
  <c r="DL102" i="4"/>
  <c r="CX108" i="4"/>
  <c r="CX110" i="4" s="1"/>
  <c r="DK102" i="4"/>
  <c r="DJ89" i="4"/>
  <c r="DJ98" i="4" s="1"/>
  <c r="DJ100" i="4" s="1"/>
  <c r="DJ102" i="4"/>
  <c r="DB92" i="4"/>
  <c r="DI102" i="4"/>
  <c r="CM102" i="4"/>
  <c r="DE102" i="4"/>
  <c r="CQ102" i="4"/>
  <c r="DI108" i="4"/>
  <c r="DI110" i="4" s="1"/>
  <c r="CU108" i="4"/>
  <c r="CU110" i="4" s="1"/>
  <c r="DD102" i="4"/>
  <c r="CP102" i="4"/>
  <c r="DH108" i="4"/>
  <c r="DH110" i="4" s="1"/>
  <c r="CT108" i="4"/>
  <c r="CT110" i="4" s="1"/>
  <c r="DG108" i="4"/>
  <c r="DG110" i="4" s="1"/>
  <c r="CS108" i="4"/>
  <c r="CS110" i="4" s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T65" i="1"/>
  <c r="CL117" i="4" l="1"/>
  <c r="CK119" i="4"/>
  <c r="CK123" i="4" s="1"/>
  <c r="DD117" i="4"/>
  <c r="DI117" i="4"/>
  <c r="DH119" i="4"/>
  <c r="DH123" i="4" s="1"/>
  <c r="DI119" i="4"/>
  <c r="DI123" i="4" s="1"/>
  <c r="CX117" i="4"/>
  <c r="CW119" i="4"/>
  <c r="CW123" i="4" s="1"/>
  <c r="CK127" i="4"/>
  <c r="CL127" i="4" s="1"/>
  <c r="CM127" i="4" s="1"/>
  <c r="CN127" i="4" s="1"/>
  <c r="CO127" i="4" s="1"/>
  <c r="CP127" i="4" s="1"/>
  <c r="CQ127" i="4" s="1"/>
  <c r="CR127" i="4" s="1"/>
  <c r="CS127" i="4" s="1"/>
  <c r="CT127" i="4" s="1"/>
  <c r="CU127" i="4" s="1"/>
  <c r="CV127" i="4" s="1"/>
  <c r="CW127" i="4" s="1"/>
  <c r="CX127" i="4" s="1"/>
  <c r="CY127" i="4" s="1"/>
  <c r="CZ127" i="4" s="1"/>
  <c r="DA127" i="4" s="1"/>
  <c r="DB127" i="4" s="1"/>
  <c r="DC127" i="4" s="1"/>
  <c r="DD127" i="4" s="1"/>
  <c r="DE127" i="4" s="1"/>
  <c r="DF127" i="4" s="1"/>
  <c r="DG127" i="4" s="1"/>
  <c r="DH127" i="4" s="1"/>
  <c r="DI127" i="4" s="1"/>
  <c r="DJ127" i="4" s="1"/>
  <c r="DK127" i="4" s="1"/>
  <c r="DL127" i="4" s="1"/>
  <c r="DH117" i="4"/>
  <c r="DG119" i="4"/>
  <c r="DG123" i="4" s="1"/>
  <c r="CK126" i="4"/>
  <c r="CL126" i="4" s="1"/>
  <c r="CM126" i="4" s="1"/>
  <c r="CN126" i="4" s="1"/>
  <c r="CO126" i="4" s="1"/>
  <c r="CP126" i="4" s="1"/>
  <c r="CQ126" i="4" s="1"/>
  <c r="CR126" i="4" s="1"/>
  <c r="CS126" i="4" s="1"/>
  <c r="CT126" i="4" s="1"/>
  <c r="CU126" i="4" s="1"/>
  <c r="CV126" i="4" s="1"/>
  <c r="CW126" i="4" s="1"/>
  <c r="CX126" i="4" s="1"/>
  <c r="CY126" i="4" s="1"/>
  <c r="CZ126" i="4" s="1"/>
  <c r="DA126" i="4" s="1"/>
  <c r="DB126" i="4" s="1"/>
  <c r="DC126" i="4" s="1"/>
  <c r="DD126" i="4" s="1"/>
  <c r="DE126" i="4" s="1"/>
  <c r="DF126" i="4" s="1"/>
  <c r="DG126" i="4" s="1"/>
  <c r="DH126" i="4" s="1"/>
  <c r="DI126" i="4" s="1"/>
  <c r="DJ126" i="4" s="1"/>
  <c r="DK126" i="4" s="1"/>
  <c r="DL126" i="4" s="1"/>
  <c r="CZ117" i="4"/>
  <c r="CY119" i="4"/>
  <c r="CY123" i="4" s="1"/>
  <c r="DA110" i="4"/>
  <c r="CL119" i="4"/>
  <c r="CL123" i="4" s="1"/>
  <c r="DF117" i="4"/>
  <c r="DE119" i="4"/>
  <c r="DE123" i="4" s="1"/>
  <c r="CN117" i="4"/>
  <c r="CM119" i="4"/>
  <c r="CM123" i="4" s="1"/>
  <c r="CO117" i="4"/>
  <c r="CN119" i="4"/>
  <c r="CN123" i="4" s="1"/>
  <c r="DC117" i="4"/>
  <c r="DB119" i="4"/>
  <c r="DB123" i="4" s="1"/>
  <c r="CS117" i="4"/>
  <c r="CR119" i="4"/>
  <c r="CR123" i="4" s="1"/>
  <c r="CU117" i="4"/>
  <c r="CU119" i="4"/>
  <c r="CU123" i="4" s="1"/>
  <c r="CT119" i="4"/>
  <c r="CT123" i="4" s="1"/>
  <c r="DG117" i="4"/>
  <c r="DF119" i="4"/>
  <c r="DF123" i="4" s="1"/>
  <c r="CT117" i="4"/>
  <c r="CS119" i="4"/>
  <c r="CS123" i="4" s="1"/>
  <c r="DL117" i="4"/>
  <c r="DK119" i="4"/>
  <c r="DK123" i="4" s="1"/>
  <c r="DB117" i="4"/>
  <c r="DA119" i="4"/>
  <c r="DA123" i="4" s="1"/>
  <c r="CK117" i="4"/>
  <c r="CJ119" i="4"/>
  <c r="CJ123" i="4" s="1"/>
  <c r="CJ129" i="4" s="1"/>
  <c r="CK129" i="4" s="1"/>
  <c r="CL129" i="4" s="1"/>
  <c r="CM129" i="4" s="1"/>
  <c r="CN129" i="4" s="1"/>
  <c r="CP117" i="4"/>
  <c r="CY117" i="4"/>
  <c r="CX119" i="4"/>
  <c r="CX123" i="4" s="1"/>
  <c r="CZ119" i="4"/>
  <c r="CZ123" i="4" s="1"/>
  <c r="CR117" i="4"/>
  <c r="CQ119" i="4"/>
  <c r="CQ123" i="4" s="1"/>
  <c r="DL119" i="4"/>
  <c r="DL123" i="4" s="1"/>
  <c r="CO110" i="4"/>
  <c r="CO119" i="4" s="1"/>
  <c r="CO123" i="4" s="1"/>
  <c r="DC110" i="4"/>
  <c r="DC119" i="4" s="1"/>
  <c r="DC123" i="4" s="1"/>
  <c r="CP110" i="4"/>
  <c r="CP119" i="4" s="1"/>
  <c r="CP123" i="4" s="1"/>
  <c r="DD110" i="4"/>
  <c r="DD119" i="4" s="1"/>
  <c r="DD123" i="4" s="1"/>
  <c r="CO129" i="4" l="1"/>
  <c r="CP129" i="4" s="1"/>
  <c r="CQ129" i="4" s="1"/>
  <c r="CR129" i="4" s="1"/>
  <c r="CS129" i="4" s="1"/>
  <c r="CT129" i="4" s="1"/>
  <c r="CU129" i="4" s="1"/>
  <c r="CV129" i="4" s="1"/>
  <c r="CW129" i="4" s="1"/>
  <c r="CX129" i="4" s="1"/>
  <c r="CY129" i="4" s="1"/>
  <c r="CZ129" i="4" s="1"/>
  <c r="DA129" i="4" s="1"/>
  <c r="DB129" i="4" s="1"/>
  <c r="DC129" i="4" s="1"/>
  <c r="DD129" i="4" s="1"/>
  <c r="DE129" i="4" s="1"/>
  <c r="DF129" i="4" s="1"/>
  <c r="DG129" i="4" s="1"/>
  <c r="DH129" i="4" s="1"/>
  <c r="DI129" i="4" s="1"/>
  <c r="DJ129" i="4" s="1"/>
  <c r="DK129" i="4" s="1"/>
  <c r="DL129" i="4" s="1"/>
</calcChain>
</file>

<file path=xl/sharedStrings.xml><?xml version="1.0" encoding="utf-8"?>
<sst xmlns="http://schemas.openxmlformats.org/spreadsheetml/2006/main" count="1131" uniqueCount="347">
  <si>
    <t>Unité : Milliards d'euros, en fin d'année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</si>
  <si>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</si>
  <si>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</si>
  <si>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</si>
  <si>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</si>
  <si>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</si>
  <si>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</si>
  <si>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</si>
  <si>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</si>
  <si>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</si>
  <si>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</si>
  <si>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</si>
  <si>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</si>
  <si>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</si>
  <si>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</si>
  <si>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</si>
  <si>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</si>
  <si>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</si>
  <si>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</si>
  <si>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</si>
  <si>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</si>
  <si>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</si>
  <si>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</si>
  <si>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</si>
  <si>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</si>
  <si>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</si>
  <si>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</si>
  <si>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</si>
  <si>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</si>
  <si>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</si>
  <si>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</si>
  <si>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</si>
  <si>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</si>
  <si>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</si>
  <si>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</si>
  <si>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</si>
  <si>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</si>
  <si>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</si>
  <si>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</si>
  <si>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</si>
  <si>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</si>
  <si>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</si>
  <si>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</si>
  <si>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</si>
  <si>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</si>
  <si>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</si>
  <si>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</si>
  <si>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</si>
  <si>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/>
  </si>
  <si>
    <t>NN</t>
  </si>
  <si>
    <t>Total des actifs non financiers (net)</t>
  </si>
  <si>
    <t>N1N</t>
  </si>
  <si>
    <t>Actifs non financiers produits (net)</t>
  </si>
  <si>
    <t>N11N</t>
  </si>
  <si>
    <t xml:space="preserve">  Actifs fixes par type d’actifs (net)</t>
  </si>
  <si>
    <t>N11KN</t>
  </si>
  <si>
    <t xml:space="preserve">  Constructions (net)</t>
  </si>
  <si>
    <t>N111N</t>
  </si>
  <si>
    <t xml:space="preserve">    Logements (net)</t>
  </si>
  <si>
    <t>N112N</t>
  </si>
  <si>
    <t xml:space="preserve">    Autres bâtiments et ouvrages de génie civil (net)</t>
  </si>
  <si>
    <t>N1121N</t>
  </si>
  <si>
    <t xml:space="preserve">      Bâtiments non résidentiels (net)</t>
  </si>
  <si>
    <t>N1122N</t>
  </si>
  <si>
    <t xml:space="preserve">      Autres ouvrages de génie civil (net)</t>
  </si>
  <si>
    <t>N113N</t>
  </si>
  <si>
    <t xml:space="preserve">    Machines et équipements (net)</t>
  </si>
  <si>
    <t>N1131N</t>
  </si>
  <si>
    <t xml:space="preserve">      Matériels de transport (net)</t>
  </si>
  <si>
    <t>N1132N</t>
  </si>
  <si>
    <t xml:space="preserve">      Équipements TIC (net)</t>
  </si>
  <si>
    <t>N1139N</t>
  </si>
  <si>
    <t xml:space="preserve">      Autres machines et équipements (net)</t>
  </si>
  <si>
    <t>N114N</t>
  </si>
  <si>
    <t xml:space="preserve">    Systèmes d’armes (net)</t>
  </si>
  <si>
    <t>N115N</t>
  </si>
  <si>
    <t xml:space="preserve">    Ressources biologiques cultivées (net)</t>
  </si>
  <si>
    <t>N117N</t>
  </si>
  <si>
    <t xml:space="preserve">    Droits de propriété intellectuelle (net)</t>
  </si>
  <si>
    <t>N1171N</t>
  </si>
  <si>
    <t xml:space="preserve">      Recherche et développement (net)</t>
  </si>
  <si>
    <t>N1173N</t>
  </si>
  <si>
    <t xml:space="preserve">      Logiciels et bases de données (net)</t>
  </si>
  <si>
    <t>N1174N</t>
  </si>
  <si>
    <t xml:space="preserve">      Œuvres récréatives, littéraires ou artistiques originales (net)</t>
  </si>
  <si>
    <t>N12N</t>
  </si>
  <si>
    <t xml:space="preserve">  Stocks par type de stocks (net)</t>
  </si>
  <si>
    <t>N13N</t>
  </si>
  <si>
    <t xml:space="preserve">  Objets de valeur (net)</t>
  </si>
  <si>
    <t>N2N</t>
  </si>
  <si>
    <t>Actifs non financiers non produits (net)</t>
  </si>
  <si>
    <t>N21N</t>
  </si>
  <si>
    <t xml:space="preserve">  Ressources naturelles (net)</t>
  </si>
  <si>
    <t>N211N</t>
  </si>
  <si>
    <t xml:space="preserve">    Terrains (net)</t>
  </si>
  <si>
    <t>N2111N</t>
  </si>
  <si>
    <t xml:space="preserve">      Terrains supportant des bâtiments et des ouvrages de génie civil (net)</t>
  </si>
  <si>
    <t>N2112N</t>
  </si>
  <si>
    <t xml:space="preserve">      Terrains cultivés (net)</t>
  </si>
  <si>
    <t>N2113N</t>
  </si>
  <si>
    <t xml:space="preserve">      Terrains et plans d’eau de loisirs (net)</t>
  </si>
  <si>
    <t>N2119N</t>
  </si>
  <si>
    <t xml:space="preserve">      Autres terrains et plans d’eau (net)</t>
  </si>
  <si>
    <t>N212N</t>
  </si>
  <si>
    <t xml:space="preserve">    Réserves de minerais et de produits énergétiques (net)</t>
  </si>
  <si>
    <t>N214N</t>
  </si>
  <si>
    <t xml:space="preserve">    Ressources en eau (net)</t>
  </si>
  <si>
    <t>N22N</t>
  </si>
  <si>
    <t xml:space="preserve">  Contrats, baux et licences  (net)</t>
  </si>
  <si>
    <t>N23N</t>
  </si>
  <si>
    <t xml:space="preserve">  Achats moins ventes de fonds commerciaux et d’autres actifs commerciaux (net)</t>
  </si>
  <si>
    <t>F</t>
  </si>
  <si>
    <t>Total des actifs financiers</t>
  </si>
  <si>
    <t>F1</t>
  </si>
  <si>
    <t>Or monétaire et droits de tirage spéciaux (DTS)</t>
  </si>
  <si>
    <t>F2</t>
  </si>
  <si>
    <t>Numéraire et dépôts</t>
  </si>
  <si>
    <t>F3</t>
  </si>
  <si>
    <t>Titres de créance</t>
  </si>
  <si>
    <t>F4</t>
  </si>
  <si>
    <t>Crédits</t>
  </si>
  <si>
    <t>F5</t>
  </si>
  <si>
    <t>Actions et parts de fonds d’investissement</t>
  </si>
  <si>
    <t>F511</t>
  </si>
  <si>
    <t xml:space="preserve">    dont Actions cotées</t>
  </si>
  <si>
    <t>F6</t>
  </si>
  <si>
    <t>Systèmes d’assurance, de pension et de garanties standard</t>
  </si>
  <si>
    <t>F7</t>
  </si>
  <si>
    <t>Produits financiers dérivés et options sur titres des salariés</t>
  </si>
  <si>
    <t>F8</t>
  </si>
  <si>
    <t>Autres comptes à recevoir / à payer</t>
  </si>
  <si>
    <t>FN</t>
  </si>
  <si>
    <t>Total des actifs</t>
  </si>
  <si>
    <t>Total des passifs financiers</t>
  </si>
  <si>
    <t>B90</t>
  </si>
  <si>
    <t>Valeur nette</t>
  </si>
  <si>
    <t>8.210 – Compte de patrimoine des ménages (S14)</t>
  </si>
  <si>
    <t>Source : Comptes nationaux annuels (base 2020)</t>
  </si>
  <si>
    <t>2025-10-17T09:15:24</t>
  </si>
  <si>
    <t>Onglet</t>
  </si>
  <si>
    <t>T_8210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</si>
  <si>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</si>
  <si>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</si>
  <si>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</si>
  <si>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</si>
  <si>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</si>
  <si>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</si>
  <si>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</si>
  <si>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</si>
  <si>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</si>
  <si>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</si>
  <si>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</si>
  <si>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</si>
  <si>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</si>
  <si>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</si>
  <si>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1978 -&gt;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</si>
  <si>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</si>
  <si>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</si>
  <si>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</si>
  <si>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</si>
  <si>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</si>
  <si>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</si>
  <si>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</si>
  <si>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</si>
  <si>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</si>
  <si>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</si>
  <si>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</si>
  <si>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</si>
  <si>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</si>
  <si>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</si>
  <si>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</si>
  <si>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</si>
  <si>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CONSOLIDATION</t>
  </si>
  <si>
    <t>Consolidation</t>
  </si>
  <si>
    <t>N</t>
  </si>
  <si>
    <t>Non 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</si>
  <si>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</si>
  <si>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</si>
  <si>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</si>
  <si>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</si>
  <si>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</si>
  <si>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</si>
  <si>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</si>
  <si>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</si>
  <si>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>EXPENDITURE</t>
  </si>
  <si>
    <t>Type de dépense de consommation</t>
  </si>
  <si>
    <t>_Z</t>
  </si>
  <si>
    <t>INSTR_ASSET</t>
  </si>
  <si>
    <t>Classe d'actifs passifs</t>
  </si>
  <si>
    <t>Logements (net)</t>
  </si>
  <si>
    <t>Bâtiments non résidentiels (net)</t>
  </si>
  <si>
    <t>Actions cotées</t>
  </si>
  <si>
    <t>Machines et équipements (net)</t>
  </si>
  <si>
    <t>Terrains (net)</t>
  </si>
  <si>
    <t>Ressources biologiques cultivées (net)</t>
  </si>
  <si>
    <t>Terrains et plans d’eau de loisirs (net)</t>
  </si>
  <si>
    <t>Œuvres récréatives, littéraires ou artistiques originales (net)</t>
  </si>
  <si>
    <t>Achats moins ventes de fonds commerciaux et d’autres actifs commerciaux (net)</t>
  </si>
  <si>
    <t>Équipements TIC (net)</t>
  </si>
  <si>
    <t>Stocks par type de stocks (net)</t>
  </si>
  <si>
    <t>Autres machines et équipements (net)</t>
  </si>
  <si>
    <t>Constructions (net)</t>
  </si>
  <si>
    <t>Objets de valeur (net)</t>
  </si>
  <si>
    <t>Recherche et développement (net)</t>
  </si>
  <si>
    <t>Réserves de minerais et de produits énergétiques (net)</t>
  </si>
  <si>
    <t>Autres ouvrages de génie civil (net)</t>
  </si>
  <si>
    <t>Matériels de transport (net)</t>
  </si>
  <si>
    <t>Ressources naturelles (net)</t>
  </si>
  <si>
    <t>Autres bâtiments et ouvrages de génie civil (net)</t>
  </si>
  <si>
    <t>Droits de propriété intellectuelle (net)</t>
  </si>
  <si>
    <t>Terrains supportant des bâtiments et des ouvrages de génie civil (net)</t>
  </si>
  <si>
    <t>Contrats, baux et licences  (net)</t>
  </si>
  <si>
    <t>Terrains cultivés (net)</t>
  </si>
  <si>
    <t>Logiciels et bases de données (net)</t>
  </si>
  <si>
    <t>Actifs fixes par type d’actifs (net)</t>
  </si>
  <si>
    <t>Autres terrains et plans d’eau (net)</t>
  </si>
  <si>
    <t>Ressources en eau (net)</t>
  </si>
  <si>
    <t>Systèmes d’armes (net)</t>
  </si>
  <si>
    <t>MATURITY</t>
  </si>
  <si>
    <t>Maturité</t>
  </si>
  <si>
    <t>T</t>
  </si>
  <si>
    <t>Toutes maturités à l’origine</t>
  </si>
  <si>
    <t>Non applicable</t>
  </si>
  <si>
    <t>PRICES</t>
  </si>
  <si>
    <t>Valorisation des prix</t>
  </si>
  <si>
    <t>U</t>
  </si>
  <si>
    <t>Au coût de remplacement</t>
  </si>
  <si>
    <t>PRODUCT</t>
  </si>
  <si>
    <t>Produit</t>
  </si>
  <si>
    <t>REF_SECTOR</t>
  </si>
  <si>
    <t>Secteur institutionnel</t>
  </si>
  <si>
    <t>S14</t>
  </si>
  <si>
    <t>Ménages</t>
  </si>
  <si>
    <t>STO</t>
  </si>
  <si>
    <t>Opération comptable</t>
  </si>
  <si>
    <t>LE</t>
  </si>
  <si>
    <t>Clôture du bilan/positions/flux</t>
  </si>
  <si>
    <t>TRANSFORMATION</t>
  </si>
  <si>
    <t>Transformation chronologique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</si>
  <si>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</si>
  <si>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</si>
  <si>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</si>
  <si>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</si>
  <si>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</si>
  <si>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</si>
  <si>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</si>
  <si>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</si>
  <si>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</si>
  <si>
    <t>Actifs net non financiers</t>
  </si>
  <si>
    <t>Actifs financiers</t>
  </si>
  <si>
    <t>En % du RDB</t>
  </si>
  <si>
    <t>RDB</t>
  </si>
  <si>
    <t xml:space="preserve">8.220 – Comptes de patrimoine et de variation de patrimoine des ménages (S14) </t>
  </si>
  <si>
    <t>Unité : Milliard d'euros</t>
  </si>
  <si>
    <t>Patrimoine en fin d'année</t>
  </si>
  <si>
    <t>Flux d’actifs</t>
  </si>
  <si>
    <t>Consommation de capital fixe</t>
  </si>
  <si>
    <t>Réévaluation</t>
  </si>
  <si>
    <t>Autres changements de volume et ajustements</t>
  </si>
  <si>
    <t>Total des actifs non financiers</t>
  </si>
  <si>
    <t>N1</t>
  </si>
  <si>
    <t>Actifs non financiers produits</t>
  </si>
  <si>
    <t>N11</t>
  </si>
  <si>
    <t xml:space="preserve">  Actifs fixes par type d’actifs</t>
  </si>
  <si>
    <t>N11K</t>
  </si>
  <si>
    <t xml:space="preserve">    Constructions</t>
  </si>
  <si>
    <t>N111</t>
  </si>
  <si>
    <t xml:space="preserve">    Logements</t>
  </si>
  <si>
    <t>N112</t>
  </si>
  <si>
    <t xml:space="preserve">    Autres bâtiments et ouvrages de génie civil</t>
  </si>
  <si>
    <t>N1121</t>
  </si>
  <si>
    <t xml:space="preserve">      Bâtiments non résidentiels</t>
  </si>
  <si>
    <t>N1122</t>
  </si>
  <si>
    <t xml:space="preserve">      Autres ouvrages de génie civil</t>
  </si>
  <si>
    <t>N113</t>
  </si>
  <si>
    <t xml:space="preserve">    Machines et équipements</t>
  </si>
  <si>
    <t>N1131</t>
  </si>
  <si>
    <t xml:space="preserve">      Matériels de transport</t>
  </si>
  <si>
    <t>N1132</t>
  </si>
  <si>
    <t xml:space="preserve">      Équipements TIC</t>
  </si>
  <si>
    <t>N1139</t>
  </si>
  <si>
    <t xml:space="preserve">      Autres machines et équipements</t>
  </si>
  <si>
    <t>N114</t>
  </si>
  <si>
    <t xml:space="preserve">    Systèmes d’armes</t>
  </si>
  <si>
    <t>N115</t>
  </si>
  <si>
    <t xml:space="preserve">    Ressources biologiques cultivées</t>
  </si>
  <si>
    <t>N117</t>
  </si>
  <si>
    <t xml:space="preserve">    Droits de propriété intellectuelle</t>
  </si>
  <si>
    <t>N1171</t>
  </si>
  <si>
    <t xml:space="preserve">      Recherche et développement</t>
  </si>
  <si>
    <t>N1173</t>
  </si>
  <si>
    <t xml:space="preserve">      Logiciels et bases de données</t>
  </si>
  <si>
    <t>N1174</t>
  </si>
  <si>
    <t xml:space="preserve">      Œuvres récréatives, littéraires ou artistiques originales</t>
  </si>
  <si>
    <t>N12</t>
  </si>
  <si>
    <t xml:space="preserve">  Stocks par type de stocks</t>
  </si>
  <si>
    <t>N13</t>
  </si>
  <si>
    <t xml:space="preserve">  Objets de valeur</t>
  </si>
  <si>
    <t>N2</t>
  </si>
  <si>
    <t>Actifs non financiers non produits</t>
  </si>
  <si>
    <t>N21</t>
  </si>
  <si>
    <t xml:space="preserve">  Ressources naturelles</t>
  </si>
  <si>
    <t>N211</t>
  </si>
  <si>
    <t xml:space="preserve">    Terrains</t>
  </si>
  <si>
    <t>N2111</t>
  </si>
  <si>
    <t xml:space="preserve">      Terrains supportant des bâtiments et des ouvrages de génie civil</t>
  </si>
  <si>
    <t>N2112</t>
  </si>
  <si>
    <t xml:space="preserve">      Terrains cultivés</t>
  </si>
  <si>
    <t>N2113</t>
  </si>
  <si>
    <t xml:space="preserve">      Terrains et plans d’eau de loisirs</t>
  </si>
  <si>
    <t>N2119</t>
  </si>
  <si>
    <t xml:space="preserve">      Autres terrains et plans d’eau</t>
  </si>
  <si>
    <t>N212</t>
  </si>
  <si>
    <t xml:space="preserve">    Réserves de minerais et de produits énergétiques</t>
  </si>
  <si>
    <t>N214</t>
  </si>
  <si>
    <t xml:space="preserve">    Ressources en eau</t>
  </si>
  <si>
    <t>N22</t>
  </si>
  <si>
    <t xml:space="preserve">  Contrats, baux et licences </t>
  </si>
  <si>
    <t>N23</t>
  </si>
  <si>
    <t xml:space="preserve">  Achats moins ventes de fonds commerciaux et d’autres actifs commerciaux</t>
  </si>
  <si>
    <t xml:space="preserve">  dont : Actions cotées</t>
  </si>
  <si>
    <t>Flux</t>
  </si>
  <si>
    <t>CCF</t>
  </si>
  <si>
    <t>Prix</t>
  </si>
  <si>
    <t>En %</t>
  </si>
  <si>
    <t>Déflateur de la consommation (en %)</t>
  </si>
  <si>
    <t>Patrimoine</t>
  </si>
  <si>
    <t>Flux net des dettes</t>
  </si>
  <si>
    <t>En années de RDB</t>
  </si>
  <si>
    <t>Total des actifs nets non financiers</t>
  </si>
  <si>
    <t>Effet hausse revenu réel</t>
  </si>
  <si>
    <t>Effet taxe inflationniste</t>
  </si>
  <si>
    <t>RDB réel (en %)</t>
  </si>
  <si>
    <t>Actif net total</t>
  </si>
  <si>
    <t>Autre</t>
  </si>
  <si>
    <t>Autre 2</t>
  </si>
  <si>
    <t>Cumul</t>
  </si>
  <si>
    <t>Revalorisation</t>
  </si>
  <si>
    <t>Taxe inflationniste</t>
  </si>
  <si>
    <t>Patrimoine 1995</t>
  </si>
  <si>
    <t>Variable</t>
  </si>
  <si>
    <t>nw95</t>
  </si>
  <si>
    <t>net_savings</t>
  </si>
  <si>
    <t>asset_price</t>
  </si>
  <si>
    <t>inflation_tax</t>
  </si>
  <si>
    <t>others</t>
  </si>
  <si>
    <t>net_wealth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</si>
</sst>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2"/>
      <name val="Arial"/>
      <family val="2"/>
    </font>
    <font>
      <b/>
      <sz val="11"/>
      <color indexed="8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164" fontId="4" fillId="0" borderId="0" xfId="0" applyNumberFormat="1" applyFont="1"/>
    <xf numFmtId="0" fontId="5" fillId="0" borderId="0" xfId="0" applyFont="1"/>
    <xf numFmtId="164" fontId="0" fillId="0" borderId="0" xfId="0" applyNumberFormat="1"/>
    <xf numFmtId="0" fontId="1" fillId="0" borderId="0" xfId="0" applyFont="1" applyAlignment="1">
      <alignment vertical="center" wrapText="1"/>
    </xf>
    <xf numFmtId="0" fontId="6" fillId="0" borderId="0" xfId="0" applyFont="1"/>
    <xf numFmtId="164" fontId="2" fillId="0" borderId="0" xfId="0" applyNumberFormat="1" applyFont="1"/>
    <xf numFmtId="165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2" fontId="0" fillId="0" borderId="0" xfId="0" applyNumberFormat="1"/>
    <xf numFmtId="165" fontId="7" fillId="0" borderId="0" xfId="0" applyNumberFormat="1" applyFont="1"/>
    <xf numFmtId="0" fontId="7" fillId="0" borderId="0" xfId="0" applyFont="1"/>
    <xf numFmtId="164" fontId="8" fillId="0" borderId="0" xfId="0" applyNumberFormat="1" applyFont="1"/>
    <xf numFmtId="164" fontId="1" fillId="0" borderId="0" xfId="0" applyNumberFormat="1" applyFont="1"/>
    <xf numFmtId="0" fontId="6" fillId="0" borderId="0" xfId="0" applyFont="1" applyAlignment="1">
      <alignment vertical="center"/>
    </xf>
    <xf numFmtId="1" fontId="0" fillId="0" borderId="0" xfId="0" applyNumberFormat="1"/>
    <xf numFmtId="49" fontId="0" fillId="0" borderId="0" xfId="0" applyNumberFormat="1"/>
    <xf numFmtId="49" fontId="6" fillId="0" borderId="0" xfId="0" applyNumberFormat="1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0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/>
              <a:t>Richesse</a:t>
            </a:r>
            <a:r>
              <a:rPr lang="fr-FR" sz="1600" b="1" baseline="0"/>
              <a:t> des ménages  en France (en années de revenu annuel)</a:t>
            </a:r>
            <a:endParaRPr lang="fr-F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Actifs (nets) immobiliers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Niveau!$T$69:$AW$69</c:f>
              <c:numCache>
                <c:formatCode>0.0</c:formatCode>
                <c:ptCount val="30"/>
                <c:pt idx="0">
                  <c:v>2.2406992235335284</c:v>
                </c:pt>
                <c:pt idx="1">
                  <c:v>2.2138348530968157</c:v>
                </c:pt>
                <c:pt idx="2">
                  <c:v>2.1614028192665615</c:v>
                </c:pt>
                <c:pt idx="3">
                  <c:v>2.2258360190779487</c:v>
                </c:pt>
                <c:pt idx="4">
                  <c:v>2.4181423698807412</c:v>
                </c:pt>
                <c:pt idx="5">
                  <c:v>2.5643780961367471</c:v>
                </c:pt>
                <c:pt idx="6">
                  <c:v>2.7014158860560142</c:v>
                </c:pt>
                <c:pt idx="7">
                  <c:v>2.9532088993032413</c:v>
                </c:pt>
                <c:pt idx="8">
                  <c:v>3.3713820407817949</c:v>
                </c:pt>
                <c:pt idx="9">
                  <c:v>3.8991899042175189</c:v>
                </c:pt>
                <c:pt idx="10">
                  <c:v>4.4291265072613681</c:v>
                </c:pt>
                <c:pt idx="11">
                  <c:v>4.6686422676401698</c:v>
                </c:pt>
                <c:pt idx="12">
                  <c:v>4.7164872703617755</c:v>
                </c:pt>
                <c:pt idx="13">
                  <c:v>4.2941753894660568</c:v>
                </c:pt>
                <c:pt idx="14">
                  <c:v>4.1760579897096122</c:v>
                </c:pt>
                <c:pt idx="15">
                  <c:v>4.4477782738649889</c:v>
                </c:pt>
                <c:pt idx="16">
                  <c:v>4.5300991674591016</c:v>
                </c:pt>
                <c:pt idx="17">
                  <c:v>4.4638453106408091</c:v>
                </c:pt>
                <c:pt idx="18">
                  <c:v>4.4272054025788119</c:v>
                </c:pt>
                <c:pt idx="19">
                  <c:v>4.2782160152656674</c:v>
                </c:pt>
                <c:pt idx="20">
                  <c:v>4.2359048917841626</c:v>
                </c:pt>
                <c:pt idx="21">
                  <c:v>4.3000332464001536</c:v>
                </c:pt>
                <c:pt idx="22">
                  <c:v>4.3726895299052888</c:v>
                </c:pt>
                <c:pt idx="23">
                  <c:v>4.4325510802548074</c:v>
                </c:pt>
                <c:pt idx="24">
                  <c:v>4.5257910800539944</c:v>
                </c:pt>
                <c:pt idx="25">
                  <c:v>4.797101429826192</c:v>
                </c:pt>
                <c:pt idx="26">
                  <c:v>4.9714366901350306</c:v>
                </c:pt>
                <c:pt idx="27">
                  <c:v>4.9670925816914249</c:v>
                </c:pt>
                <c:pt idx="28">
                  <c:v>4.4177009688400108</c:v>
                </c:pt>
                <c:pt idx="29">
                  <c:v>4.1783951108168988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B-4D45-A22A-CA5DCE9C5403}"/>
            </c:ext>
          </c:extLst>
        </c:ser>
        <c:ser>
          <c:idx val="1"/>
          <c:order val="1"/>
          <c:tx>
            <c:v>Actifs financiers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Niveau!$T$70:$AW$70</c:f>
              <c:numCache>
                <c:formatCode>0.0</c:formatCode>
                <c:ptCount val="30"/>
                <c:pt idx="0">
                  <c:v>2.5549259194466498</c:v>
                </c:pt>
                <c:pt idx="1">
                  <c:v>2.6689389895725819</c:v>
                </c:pt>
                <c:pt idx="2">
                  <c:v>2.7819209140477157</c:v>
                </c:pt>
                <c:pt idx="3">
                  <c:v>2.8700083135582646</c:v>
                </c:pt>
                <c:pt idx="4">
                  <c:v>3.1511290873491227</c:v>
                </c:pt>
                <c:pt idx="5">
                  <c:v>3.0739602424286412</c:v>
                </c:pt>
                <c:pt idx="6">
                  <c:v>2.8511777117141217</c:v>
                </c:pt>
                <c:pt idx="7">
                  <c:v>2.7517025672022419</c:v>
                </c:pt>
                <c:pt idx="8">
                  <c:v>2.8618855587806955</c:v>
                </c:pt>
                <c:pt idx="9">
                  <c:v>2.9025886374169625</c:v>
                </c:pt>
                <c:pt idx="10">
                  <c:v>3.026368905137292</c:v>
                </c:pt>
                <c:pt idx="11">
                  <c:v>3.2017062599197295</c:v>
                </c:pt>
                <c:pt idx="12">
                  <c:v>3.2180377128277207</c:v>
                </c:pt>
                <c:pt idx="13">
                  <c:v>2.8924500866568099</c:v>
                </c:pt>
                <c:pt idx="14">
                  <c:v>3.1082306819051713</c:v>
                </c:pt>
                <c:pt idx="15">
                  <c:v>3.2338865278486</c:v>
                </c:pt>
                <c:pt idx="16">
                  <c:v>3.1964113411865167</c:v>
                </c:pt>
                <c:pt idx="17">
                  <c:v>3.2869168979473948</c:v>
                </c:pt>
                <c:pt idx="18">
                  <c:v>3.4427603376920262</c:v>
                </c:pt>
                <c:pt idx="19">
                  <c:v>3.5454700958665621</c:v>
                </c:pt>
                <c:pt idx="20">
                  <c:v>3.6732223562162591</c:v>
                </c:pt>
                <c:pt idx="21">
                  <c:v>3.8629841968777936</c:v>
                </c:pt>
                <c:pt idx="22">
                  <c:v>3.9422710432613988</c:v>
                </c:pt>
                <c:pt idx="23">
                  <c:v>3.8037848333388222</c:v>
                </c:pt>
                <c:pt idx="24">
                  <c:v>4.0161834622661461</c:v>
                </c:pt>
                <c:pt idx="25">
                  <c:v>4.1758466800105483</c:v>
                </c:pt>
                <c:pt idx="26">
                  <c:v>4.3062951151626629</c:v>
                </c:pt>
                <c:pt idx="27">
                  <c:v>3.8841980119105548</c:v>
                </c:pt>
                <c:pt idx="28">
                  <c:v>3.8330723293549234</c:v>
                </c:pt>
                <c:pt idx="29">
                  <c:v>3.7489661961175398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B-4D45-A22A-CA5DCE9C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648063"/>
        <c:axId val="399649983"/>
      </c:barChart>
      <c:catAx>
        <c:axId val="39964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9649983"/>
        <c:crosses val="autoZero"/>
        <c:auto val="1"/>
        <c:lblAlgn val="ctr"/>
        <c:lblOffset val="100"/>
        <c:noMultiLvlLbl val="0"/>
      </c:catAx>
      <c:valAx>
        <c:axId val="3996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964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567918764252826E-2"/>
          <c:y val="0.10618162905222131"/>
          <c:w val="0.25948711329116647"/>
          <c:h val="0.13462104653306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Variations!$CJ$100:$DL$100</c:f>
              <c:numCache>
                <c:formatCode>0.00</c:formatCode>
                <c:ptCount val="29"/>
                <c:pt idx="0">
                  <c:v>0.13002731771034834</c:v>
                </c:pt>
                <c:pt idx="1">
                  <c:v>0.13508847372457344</c:v>
                </c:pt>
                <c:pt idx="2">
                  <c:v>0.12904915375882775</c:v>
                </c:pt>
                <c:pt idx="3">
                  <c:v>0.13974680925784277</c:v>
                </c:pt>
                <c:pt idx="4">
                  <c:v>0.13578657751002557</c:v>
                </c:pt>
                <c:pt idx="5">
                  <c:v>0.14705431842011019</c:v>
                </c:pt>
                <c:pt idx="6">
                  <c:v>0.13862933507764535</c:v>
                </c:pt>
                <c:pt idx="7">
                  <c:v>0.14612838832745489</c:v>
                </c:pt>
                <c:pt idx="8">
                  <c:v>0.14508438900046344</c:v>
                </c:pt>
                <c:pt idx="9">
                  <c:v>0.12528707517541929</c:v>
                </c:pt>
                <c:pt idx="10">
                  <c:v>0.14027062306756358</c:v>
                </c:pt>
                <c:pt idx="11">
                  <c:v>0.13746694776862678</c:v>
                </c:pt>
                <c:pt idx="12">
                  <c:v>0.15423851348484405</c:v>
                </c:pt>
                <c:pt idx="13">
                  <c:v>0.14743611668955048</c:v>
                </c:pt>
                <c:pt idx="14">
                  <c:v>0.15587888458094862</c:v>
                </c:pt>
                <c:pt idx="15">
                  <c:v>0.14241068136389218</c:v>
                </c:pt>
                <c:pt idx="16">
                  <c:v>0.13703930453699428</c:v>
                </c:pt>
                <c:pt idx="17">
                  <c:v>0.15446340564228894</c:v>
                </c:pt>
                <c:pt idx="18">
                  <c:v>0.13726860123007215</c:v>
                </c:pt>
                <c:pt idx="19">
                  <c:v>0.13484208114027674</c:v>
                </c:pt>
                <c:pt idx="20">
                  <c:v>0.13411597821991386</c:v>
                </c:pt>
                <c:pt idx="21">
                  <c:v>0.12132220444290676</c:v>
                </c:pt>
                <c:pt idx="22">
                  <c:v>0.13551727013272211</c:v>
                </c:pt>
                <c:pt idx="23">
                  <c:v>0.14332752367683493</c:v>
                </c:pt>
                <c:pt idx="24">
                  <c:v>0.19377369036603523</c:v>
                </c:pt>
                <c:pt idx="25">
                  <c:v>0.17026947979845494</c:v>
                </c:pt>
                <c:pt idx="26">
                  <c:v>0.16481593193135544</c:v>
                </c:pt>
                <c:pt idx="27">
                  <c:v>0.16119459296612579</c:v>
                </c:pt>
                <c:pt idx="28">
                  <c:v>0.16495727230523222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8-41CB-919E-3C4E6C484DF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Variations!$CJ$106:$DL$106</c:f>
              <c:numCache>
                <c:formatCode>0.00</c:formatCode>
                <c:ptCount val="29"/>
                <c:pt idx="0">
                  <c:v>0.13022403669989469</c:v>
                </c:pt>
                <c:pt idx="1">
                  <c:v>9.467013917688237E-2</c:v>
                </c:pt>
                <c:pt idx="2">
                  <c:v>0.21218226580904018</c:v>
                </c:pt>
                <c:pt idx="3">
                  <c:v>0.50681445347265319</c:v>
                </c:pt>
                <c:pt idx="4">
                  <c:v>0.28470621858498607</c:v>
                </c:pt>
                <c:pt idx="5">
                  <c:v>7.524820614161884E-2</c:v>
                </c:pt>
                <c:pt idx="6">
                  <c:v>0.25168497228282694</c:v>
                </c:pt>
                <c:pt idx="7">
                  <c:v>0.56751274557002063</c:v>
                </c:pt>
                <c:pt idx="8">
                  <c:v>0.69983392553684542</c:v>
                </c:pt>
                <c:pt idx="9">
                  <c:v>0.77274568967126867</c:v>
                </c:pt>
                <c:pt idx="10">
                  <c:v>0.65696235399000213</c:v>
                </c:pt>
                <c:pt idx="11">
                  <c:v>0.26755159855674027</c:v>
                </c:pt>
                <c:pt idx="12">
                  <c:v>-0.62046520508778291</c:v>
                </c:pt>
                <c:pt idx="13">
                  <c:v>4.394100047070628E-2</c:v>
                </c:pt>
                <c:pt idx="14">
                  <c:v>0.47252095395720306</c:v>
                </c:pt>
                <c:pt idx="15">
                  <c:v>8.5934522307826638E-2</c:v>
                </c:pt>
                <c:pt idx="16">
                  <c:v>-1.046005980908106E-2</c:v>
                </c:pt>
                <c:pt idx="17">
                  <c:v>-5.9688438536873542E-2</c:v>
                </c:pt>
                <c:pt idx="18">
                  <c:v>-7.3226544622425616E-2</c:v>
                </c:pt>
                <c:pt idx="19">
                  <c:v>6.0810501125174228E-2</c:v>
                </c:pt>
                <c:pt idx="20">
                  <c:v>0.1495489571712485</c:v>
                </c:pt>
                <c:pt idx="21">
                  <c:v>0.24696262019057502</c:v>
                </c:pt>
                <c:pt idx="22">
                  <c:v>5.5406108959531672E-2</c:v>
                </c:pt>
                <c:pt idx="23">
                  <c:v>0.44060123168331861</c:v>
                </c:pt>
                <c:pt idx="24">
                  <c:v>0.33618663361785817</c:v>
                </c:pt>
                <c:pt idx="25">
                  <c:v>0.55856819297433835</c:v>
                </c:pt>
                <c:pt idx="26">
                  <c:v>-0.1180223837754989</c:v>
                </c:pt>
                <c:pt idx="27">
                  <c:v>-8.9790999726889031E-2</c:v>
                </c:pt>
                <c:pt idx="28">
                  <c:v>-0.10063092126755963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8-41CB-919E-3C4E6C484DF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Variations!$CJ$110:$DL$110</c:f>
              <c:numCache>
                <c:formatCode>0.00</c:formatCode>
                <c:ptCount val="29"/>
                <c:pt idx="0">
                  <c:v>-9.0205593469136341E-2</c:v>
                </c:pt>
                <c:pt idx="1">
                  <c:v>-9.5604689533994092E-2</c:v>
                </c:pt>
                <c:pt idx="2">
                  <c:v>-0.15143891245107602</c:v>
                </c:pt>
                <c:pt idx="3">
                  <c:v>-0.15807362678824322</c:v>
                </c:pt>
                <c:pt idx="4">
                  <c:v>-0.20852760191584974</c:v>
                </c:pt>
                <c:pt idx="5">
                  <c:v>-0.18117881612220305</c:v>
                </c:pt>
                <c:pt idx="6">
                  <c:v>-0.17248659673100042</c:v>
                </c:pt>
                <c:pt idx="7">
                  <c:v>-6.8508325686826105E-2</c:v>
                </c:pt>
                <c:pt idx="8">
                  <c:v>-0.1327945891924929</c:v>
                </c:pt>
                <c:pt idx="9">
                  <c:v>-0.10736952372098973</c:v>
                </c:pt>
                <c:pt idx="10">
                  <c:v>-0.23156001380609914</c:v>
                </c:pt>
                <c:pt idx="11">
                  <c:v>-0.24536100449285489</c:v>
                </c:pt>
                <c:pt idx="12">
                  <c:v>-3.3004358893275687E-2</c:v>
                </c:pt>
                <c:pt idx="13">
                  <c:v>-0.13213872829601558</c:v>
                </c:pt>
                <c:pt idx="14">
                  <c:v>-0.10444646082459567</c:v>
                </c:pt>
                <c:pt idx="15">
                  <c:v>-2.6896328395650957E-2</c:v>
                </c:pt>
                <c:pt idx="16">
                  <c:v>1.9231379019931091E-2</c:v>
                </c:pt>
                <c:pt idx="17">
                  <c:v>7.7256627938436961E-2</c:v>
                </c:pt>
                <c:pt idx="18">
                  <c:v>-0.10304176101024939</c:v>
                </c:pt>
                <c:pt idx="19">
                  <c:v>-7.3537605716741478E-2</c:v>
                </c:pt>
                <c:pt idx="20">
                  <c:v>-0.11680711615258585</c:v>
                </c:pt>
                <c:pt idx="21">
                  <c:v>-0.13808268954789576</c:v>
                </c:pt>
                <c:pt idx="22">
                  <c:v>-7.5675165733379568E-2</c:v>
                </c:pt>
                <c:pt idx="23">
                  <c:v>-0.20817386981655783</c:v>
                </c:pt>
                <c:pt idx="24">
                  <c:v>-1.975075642434963E-2</c:v>
                </c:pt>
                <c:pt idx="25">
                  <c:v>-0.29826751651655231</c:v>
                </c:pt>
                <c:pt idx="26">
                  <c:v>-3.7308389357136262E-2</c:v>
                </c:pt>
                <c:pt idx="27">
                  <c:v>-7.0983446958288232E-2</c:v>
                </c:pt>
                <c:pt idx="28">
                  <c:v>-0.20577408137122594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F8-41CB-919E-3C4E6C484DF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Variations!$CJ$114:$DL$114</c:f>
              <c:numCache>
                <c:formatCode>0.00</c:formatCode>
                <c:ptCount val="29"/>
                <c:pt idx="0">
                  <c:v>-6.9309778520646972E-2</c:v>
                </c:pt>
                <c:pt idx="1">
                  <c:v>-3.6296665803217901E-2</c:v>
                </c:pt>
                <c:pt idx="2">
                  <c:v>-6.3647417052800359E-3</c:v>
                </c:pt>
                <c:pt idx="3">
                  <c:v>2.3566351020123444E-2</c:v>
                </c:pt>
                <c:pt idx="4">
                  <c:v>-0.10902566953673629</c:v>
                </c:pt>
                <c:pt idx="5">
                  <c:v>-9.4384834507665161E-2</c:v>
                </c:pt>
                <c:pt idx="6">
                  <c:v>-5.2424396825462544E-2</c:v>
                </c:pt>
                <c:pt idx="7">
                  <c:v>-8.4937425445213682E-2</c:v>
                </c:pt>
                <c:pt idx="8">
                  <c:v>-0.12471408869534992</c:v>
                </c:pt>
                <c:pt idx="9">
                  <c:v>-0.11785190349046074</c:v>
                </c:pt>
                <c:pt idx="10">
                  <c:v>-0.14691886327322934</c:v>
                </c:pt>
                <c:pt idx="11">
                  <c:v>-0.14143906584156163</c:v>
                </c:pt>
                <c:pt idx="12">
                  <c:v>-0.21798199102587956</c:v>
                </c:pt>
                <c:pt idx="13">
                  <c:v>0.11798719638223953</c:v>
                </c:pt>
                <c:pt idx="14">
                  <c:v>-8.6398148676544176E-2</c:v>
                </c:pt>
                <c:pt idx="15">
                  <c:v>-0.13557112813367231</c:v>
                </c:pt>
                <c:pt idx="16">
                  <c:v>-9.9855279107764663E-2</c:v>
                </c:pt>
                <c:pt idx="17">
                  <c:v>-4.5914416080631452E-2</c:v>
                </c:pt>
                <c:pt idx="18">
                  <c:v>-9.4641010514151906E-3</c:v>
                </c:pt>
                <c:pt idx="19">
                  <c:v>-1.7784437356535589E-2</c:v>
                </c:pt>
                <c:pt idx="20">
                  <c:v>-1.5398305216729588E-2</c:v>
                </c:pt>
                <c:pt idx="21">
                  <c:v>-6.1082744907667685E-2</c:v>
                </c:pt>
                <c:pt idx="22">
                  <c:v>-0.15584866048123597</c:v>
                </c:pt>
                <c:pt idx="23">
                  <c:v>-6.3004396986116457E-2</c:v>
                </c:pt>
                <c:pt idx="24">
                  <c:v>-6.4028538026371512E-2</c:v>
                </c:pt>
                <c:pt idx="25">
                  <c:v>-0.11639271514320695</c:v>
                </c:pt>
                <c:pt idx="26">
                  <c:v>-0.4337296671289706</c:v>
                </c:pt>
                <c:pt idx="27">
                  <c:v>-0.57563948326280312</c:v>
                </c:pt>
                <c:pt idx="28">
                  <c:v>-0.17217858717051532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F8-41CB-919E-3C4E6C484DF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Variations!$CJ$102:$DL$102</c:f>
              <c:numCache>
                <c:formatCode>0.00</c:formatCode>
                <c:ptCount val="29"/>
                <c:pt idx="0">
                  <c:v>-4.8263036895302223E-2</c:v>
                </c:pt>
                <c:pt idx="1">
                  <c:v>-4.8283799872141528E-2</c:v>
                </c:pt>
                <c:pt idx="2">
                  <c:v>-4.7871519083507411E-2</c:v>
                </c:pt>
                <c:pt idx="3">
                  <c:v>-4.7774538527038925E-2</c:v>
                </c:pt>
                <c:pt idx="4">
                  <c:v>-4.6956939882777771E-2</c:v>
                </c:pt>
                <c:pt idx="5">
                  <c:v>-4.6741714596376473E-2</c:v>
                </c:pt>
                <c:pt idx="6">
                  <c:v>-4.6845955445524064E-2</c:v>
                </c:pt>
                <c:pt idx="7">
                  <c:v>-4.7798657258478754E-2</c:v>
                </c:pt>
                <c:pt idx="8">
                  <c:v>-4.8821064421442913E-2</c:v>
                </c:pt>
                <c:pt idx="9">
                  <c:v>-5.0156467640326087E-2</c:v>
                </c:pt>
                <c:pt idx="10">
                  <c:v>-5.1009674477793546E-2</c:v>
                </c:pt>
                <c:pt idx="11">
                  <c:v>-5.180415889338854E-2</c:v>
                </c:pt>
                <c:pt idx="12">
                  <c:v>-5.3727221988308677E-2</c:v>
                </c:pt>
                <c:pt idx="13">
                  <c:v>-5.3303820538755084E-2</c:v>
                </c:pt>
                <c:pt idx="14">
                  <c:v>-5.3478289487771009E-2</c:v>
                </c:pt>
                <c:pt idx="15">
                  <c:v>-5.3914494750528827E-2</c:v>
                </c:pt>
                <c:pt idx="16">
                  <c:v>-5.4044794589682511E-2</c:v>
                </c:pt>
                <c:pt idx="17">
                  <c:v>-5.4332752825540696E-2</c:v>
                </c:pt>
                <c:pt idx="18">
                  <c:v>-5.4948797676699343E-2</c:v>
                </c:pt>
                <c:pt idx="19">
                  <c:v>-5.496335200483881E-2</c:v>
                </c:pt>
                <c:pt idx="20">
                  <c:v>-5.4805582439990244E-2</c:v>
                </c:pt>
                <c:pt idx="21">
                  <c:v>-5.5837621992532685E-2</c:v>
                </c:pt>
                <c:pt idx="22">
                  <c:v>-5.6905635627632491E-2</c:v>
                </c:pt>
                <c:pt idx="23">
                  <c:v>-5.8118023668703209E-2</c:v>
                </c:pt>
                <c:pt idx="24">
                  <c:v>-6.0371557536933323E-2</c:v>
                </c:pt>
                <c:pt idx="25">
                  <c:v>-6.2044288458006219E-2</c:v>
                </c:pt>
                <c:pt idx="26">
                  <c:v>-6.4652090422045283E-2</c:v>
                </c:pt>
                <c:pt idx="27">
                  <c:v>-6.174560136499168E-2</c:v>
                </c:pt>
                <c:pt idx="28">
                  <c:v>-5.8431412163207755E-2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F8-41CB-919E-3C4E6C484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8025343"/>
        <c:axId val="1898025823"/>
      </c:barChart>
      <c:catAx>
        <c:axId val="1898025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8025823"/>
        <c:crosses val="autoZero"/>
        <c:auto val="1"/>
        <c:lblAlgn val="ctr"/>
        <c:lblOffset val="100"/>
        <c:noMultiLvlLbl val="0"/>
      </c:catAx>
      <c:valAx>
        <c:axId val="18980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802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Variations!$CI$100:$DL$100</c:f>
              <c:numCache>
                <c:formatCode>0.00</c:formatCode>
                <c:ptCount val="30"/>
                <c:pt idx="1">
                  <c:v>0.13002731771034834</c:v>
                </c:pt>
                <c:pt idx="2">
                  <c:v>0.13508847372457344</c:v>
                </c:pt>
                <c:pt idx="3">
                  <c:v>0.12904915375882775</c:v>
                </c:pt>
                <c:pt idx="4">
                  <c:v>0.13974680925784277</c:v>
                </c:pt>
                <c:pt idx="5">
                  <c:v>0.13578657751002557</c:v>
                </c:pt>
                <c:pt idx="6">
                  <c:v>0.14705431842011019</c:v>
                </c:pt>
                <c:pt idx="7">
                  <c:v>0.13862933507764535</c:v>
                </c:pt>
                <c:pt idx="8">
                  <c:v>0.14612838832745489</c:v>
                </c:pt>
                <c:pt idx="9">
                  <c:v>0.14508438900046344</c:v>
                </c:pt>
                <c:pt idx="10">
                  <c:v>0.12528707517541929</c:v>
                </c:pt>
                <c:pt idx="11">
                  <c:v>0.14027062306756358</c:v>
                </c:pt>
                <c:pt idx="12">
                  <c:v>0.13746694776862678</c:v>
                </c:pt>
                <c:pt idx="13">
                  <c:v>0.15423851348484405</c:v>
                </c:pt>
                <c:pt idx="14">
                  <c:v>0.14743611668955048</c:v>
                </c:pt>
                <c:pt idx="15">
                  <c:v>0.15587888458094862</c:v>
                </c:pt>
                <c:pt idx="16">
                  <c:v>0.14241068136389218</c:v>
                </c:pt>
                <c:pt idx="17">
                  <c:v>0.13703930453699428</c:v>
                </c:pt>
                <c:pt idx="18">
                  <c:v>0.15446340564228894</c:v>
                </c:pt>
                <c:pt idx="19">
                  <c:v>0.13726860123007215</c:v>
                </c:pt>
                <c:pt idx="20">
                  <c:v>0.13484208114027674</c:v>
                </c:pt>
                <c:pt idx="21">
                  <c:v>0.13411597821991386</c:v>
                </c:pt>
                <c:pt idx="22">
                  <c:v>0.12132220444290676</c:v>
                </c:pt>
                <c:pt idx="23">
                  <c:v>0.13551727013272211</c:v>
                </c:pt>
                <c:pt idx="24">
                  <c:v>0.14332752367683493</c:v>
                </c:pt>
                <c:pt idx="25">
                  <c:v>0.19377369036603523</c:v>
                </c:pt>
                <c:pt idx="26">
                  <c:v>0.17026947979845494</c:v>
                </c:pt>
                <c:pt idx="27">
                  <c:v>0.16481593193135544</c:v>
                </c:pt>
                <c:pt idx="28">
                  <c:v>0.16119459296612579</c:v>
                </c:pt>
                <c:pt idx="29">
                  <c:v>0.16495727230523222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4-414B-AC08-3FDD100ADA1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Variations!$CI$106:$DL$106</c:f>
              <c:numCache>
                <c:formatCode>0.00</c:formatCode>
                <c:ptCount val="30"/>
                <c:pt idx="1">
                  <c:v>0.13022403669989469</c:v>
                </c:pt>
                <c:pt idx="2">
                  <c:v>9.467013917688237E-2</c:v>
                </c:pt>
                <c:pt idx="3">
                  <c:v>0.21218226580904018</c:v>
                </c:pt>
                <c:pt idx="4">
                  <c:v>0.50681445347265319</c:v>
                </c:pt>
                <c:pt idx="5">
                  <c:v>0.28470621858498607</c:v>
                </c:pt>
                <c:pt idx="6">
                  <c:v>7.524820614161884E-2</c:v>
                </c:pt>
                <c:pt idx="7">
                  <c:v>0.25168497228282694</c:v>
                </c:pt>
                <c:pt idx="8">
                  <c:v>0.56751274557002063</c:v>
                </c:pt>
                <c:pt idx="9">
                  <c:v>0.69983392553684542</c:v>
                </c:pt>
                <c:pt idx="10">
                  <c:v>0.77274568967126867</c:v>
                </c:pt>
                <c:pt idx="11">
                  <c:v>0.65696235399000213</c:v>
                </c:pt>
                <c:pt idx="12">
                  <c:v>0.26755159855674027</c:v>
                </c:pt>
                <c:pt idx="13">
                  <c:v>-0.62046520508778291</c:v>
                </c:pt>
                <c:pt idx="14">
                  <c:v>4.394100047070628E-2</c:v>
                </c:pt>
                <c:pt idx="15">
                  <c:v>0.47252095395720306</c:v>
                </c:pt>
                <c:pt idx="16">
                  <c:v>8.5934522307826638E-2</c:v>
                </c:pt>
                <c:pt idx="17">
                  <c:v>-1.046005980908106E-2</c:v>
                </c:pt>
                <c:pt idx="18">
                  <c:v>-5.9688438536873542E-2</c:v>
                </c:pt>
                <c:pt idx="19">
                  <c:v>-7.3226544622425616E-2</c:v>
                </c:pt>
                <c:pt idx="20">
                  <c:v>6.0810501125174228E-2</c:v>
                </c:pt>
                <c:pt idx="21">
                  <c:v>0.1495489571712485</c:v>
                </c:pt>
                <c:pt idx="22">
                  <c:v>0.24696262019057502</c:v>
                </c:pt>
                <c:pt idx="23">
                  <c:v>5.5406108959531672E-2</c:v>
                </c:pt>
                <c:pt idx="24">
                  <c:v>0.44060123168331861</c:v>
                </c:pt>
                <c:pt idx="25">
                  <c:v>0.33618663361785817</c:v>
                </c:pt>
                <c:pt idx="26">
                  <c:v>0.55856819297433835</c:v>
                </c:pt>
                <c:pt idx="27">
                  <c:v>-0.1180223837754989</c:v>
                </c:pt>
                <c:pt idx="28">
                  <c:v>-8.9790999726889031E-2</c:v>
                </c:pt>
                <c:pt idx="29">
                  <c:v>-0.10063092126755963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4-414B-AC08-3FDD100ADA1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Variations!$CI$114:$DL$114</c:f>
              <c:numCache>
                <c:formatCode>0.00</c:formatCode>
                <c:ptCount val="30"/>
                <c:pt idx="1">
                  <c:v>-6.9309778520646972E-2</c:v>
                </c:pt>
                <c:pt idx="2">
                  <c:v>-3.6296665803217901E-2</c:v>
                </c:pt>
                <c:pt idx="3">
                  <c:v>-6.3647417052800359E-3</c:v>
                </c:pt>
                <c:pt idx="4">
                  <c:v>2.3566351020123444E-2</c:v>
                </c:pt>
                <c:pt idx="5">
                  <c:v>-0.10902566953673629</c:v>
                </c:pt>
                <c:pt idx="6">
                  <c:v>-9.4384834507665161E-2</c:v>
                </c:pt>
                <c:pt idx="7">
                  <c:v>-5.2424396825462544E-2</c:v>
                </c:pt>
                <c:pt idx="8">
                  <c:v>-8.4937425445213682E-2</c:v>
                </c:pt>
                <c:pt idx="9">
                  <c:v>-0.12471408869534992</c:v>
                </c:pt>
                <c:pt idx="10">
                  <c:v>-0.11785190349046074</c:v>
                </c:pt>
                <c:pt idx="11">
                  <c:v>-0.14691886327322934</c:v>
                </c:pt>
                <c:pt idx="12">
                  <c:v>-0.14143906584156163</c:v>
                </c:pt>
                <c:pt idx="13">
                  <c:v>-0.21798199102587956</c:v>
                </c:pt>
                <c:pt idx="14">
                  <c:v>0.11798719638223953</c:v>
                </c:pt>
                <c:pt idx="15">
                  <c:v>-8.6398148676544176E-2</c:v>
                </c:pt>
                <c:pt idx="16">
                  <c:v>-0.13557112813367231</c:v>
                </c:pt>
                <c:pt idx="17">
                  <c:v>-9.9855279107764663E-2</c:v>
                </c:pt>
                <c:pt idx="18">
                  <c:v>-4.5914416080631452E-2</c:v>
                </c:pt>
                <c:pt idx="19">
                  <c:v>-9.4641010514151906E-3</c:v>
                </c:pt>
                <c:pt idx="20">
                  <c:v>-1.7784437356535589E-2</c:v>
                </c:pt>
                <c:pt idx="21">
                  <c:v>-1.5398305216729588E-2</c:v>
                </c:pt>
                <c:pt idx="22">
                  <c:v>-6.1082744907667685E-2</c:v>
                </c:pt>
                <c:pt idx="23">
                  <c:v>-0.15584866048123597</c:v>
                </c:pt>
                <c:pt idx="24">
                  <c:v>-6.3004396986116457E-2</c:v>
                </c:pt>
                <c:pt idx="25">
                  <c:v>-6.4028538026371512E-2</c:v>
                </c:pt>
                <c:pt idx="26">
                  <c:v>-0.11639271514320695</c:v>
                </c:pt>
                <c:pt idx="27">
                  <c:v>-0.4337296671289706</c:v>
                </c:pt>
                <c:pt idx="28">
                  <c:v>-0.57563948326280312</c:v>
                </c:pt>
                <c:pt idx="29">
                  <c:v>-0.17217858717051532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34-414B-AC08-3FDD100ADA1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Variations!$CI$117:$DL$117</c:f>
              <c:numCache>
                <c:formatCode>0.0</c:formatCode>
                <c:ptCount val="30"/>
                <c:pt idx="0">
                  <c:v>4.7956251429801782</c:v>
                </c:pt>
                <c:pt idx="1">
                  <c:v>4.7956251429801782</c:v>
                </c:pt>
                <c:pt idx="2">
                  <c:v>4.8827738426693976</c:v>
                </c:pt>
                <c:pt idx="3">
                  <c:v>4.9433237333142772</c:v>
                </c:pt>
                <c:pt idx="4">
                  <c:v>5.0958443326362133</c:v>
                </c:pt>
                <c:pt idx="5">
                  <c:v>5.5692714572298634</c:v>
                </c:pt>
                <c:pt idx="6">
                  <c:v>5.6383383385653882</c:v>
                </c:pt>
                <c:pt idx="7">
                  <c:v>5.5525935977701355</c:v>
                </c:pt>
                <c:pt idx="8">
                  <c:v>5.7049114665054832</c:v>
                </c:pt>
                <c:pt idx="9">
                  <c:v>6.23326759956249</c:v>
                </c:pt>
                <c:pt idx="10">
                  <c:v>6.8017785416344818</c:v>
                </c:pt>
                <c:pt idx="11">
                  <c:v>7.4554954123986601</c:v>
                </c:pt>
                <c:pt idx="12">
                  <c:v>7.8703485275598997</c:v>
                </c:pt>
                <c:pt idx="13">
                  <c:v>7.9345249831894957</c:v>
                </c:pt>
                <c:pt idx="14">
                  <c:v>7.1866254761228667</c:v>
                </c:pt>
                <c:pt idx="15">
                  <c:v>7.2842886716147834</c:v>
                </c:pt>
                <c:pt idx="16">
                  <c:v>7.6816648017135893</c:v>
                </c:pt>
                <c:pt idx="17">
                  <c:v>7.7265105086456183</c:v>
                </c:pt>
                <c:pt idx="18">
                  <c:v>7.7507622085882044</c:v>
                </c:pt>
                <c:pt idx="19">
                  <c:v>7.8699657402708381</c:v>
                </c:pt>
                <c:pt idx="20">
                  <c:v>7.8236861111322291</c:v>
                </c:pt>
                <c:pt idx="21">
                  <c:v>7.9091272480004218</c:v>
                </c:pt>
                <c:pt idx="22">
                  <c:v>8.1630174432779476</c:v>
                </c:pt>
                <c:pt idx="23">
                  <c:v>8.3149605731666867</c:v>
                </c:pt>
                <c:pt idx="24">
                  <c:v>8.2363359135936296</c:v>
                </c:pt>
                <c:pt idx="25">
                  <c:v>8.5419745423201405</c:v>
                </c:pt>
                <c:pt idx="26">
                  <c:v>8.9729481098367394</c:v>
                </c:pt>
                <c:pt idx="27">
                  <c:v>9.2777318052976945</c:v>
                </c:pt>
                <c:pt idx="28">
                  <c:v>8.8512905936019806</c:v>
                </c:pt>
                <c:pt idx="29">
                  <c:v>8.2507732981949342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34-414B-AC08-3FDD100ADA1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Variations!$CI$123:$DL$123</c:f>
              <c:numCache>
                <c:formatCode>0.00</c:formatCode>
                <c:ptCount val="30"/>
                <c:pt idx="1">
                  <c:v>-0.10379287620037658</c:v>
                </c:pt>
                <c:pt idx="2">
                  <c:v>-0.13291205645335832</c:v>
                </c:pt>
                <c:pt idx="3">
                  <c:v>-0.18234607854065182</c:v>
                </c:pt>
                <c:pt idx="4">
                  <c:v>-0.19670048915696928</c:v>
                </c:pt>
                <c:pt idx="5">
                  <c:v>-0.24240024522275047</c:v>
                </c:pt>
                <c:pt idx="6">
                  <c:v>-0.2136624308493166</c:v>
                </c:pt>
                <c:pt idx="7">
                  <c:v>-0.18557204179966205</c:v>
                </c:pt>
                <c:pt idx="8">
                  <c:v>-0.1003475753952551</c:v>
                </c:pt>
                <c:pt idx="9">
                  <c:v>-0.15169328376996713</c:v>
                </c:pt>
                <c:pt idx="10">
                  <c:v>-0.12646399059204891</c:v>
                </c:pt>
                <c:pt idx="11">
                  <c:v>-0.23546099862309683</c:v>
                </c:pt>
                <c:pt idx="12">
                  <c:v>-0.19940302485420938</c:v>
                </c:pt>
                <c:pt idx="13">
                  <c:v>-6.3690824437810573E-2</c:v>
                </c:pt>
                <c:pt idx="14">
                  <c:v>-0.21170111805057956</c:v>
                </c:pt>
                <c:pt idx="15">
                  <c:v>-0.14462555976280167</c:v>
                </c:pt>
                <c:pt idx="16">
                  <c:v>-4.7928368606017582E-2</c:v>
                </c:pt>
                <c:pt idx="17">
                  <c:v>-2.472265677562431E-3</c:v>
                </c:pt>
                <c:pt idx="18">
                  <c:v>7.0342980657849691E-2</c:v>
                </c:pt>
                <c:pt idx="19">
                  <c:v>-0.10085758469484028</c:v>
                </c:pt>
                <c:pt idx="20">
                  <c:v>-9.2427008040722708E-2</c:v>
                </c:pt>
                <c:pt idx="21">
                  <c:v>-1.4376434896906862E-2</c:v>
                </c:pt>
                <c:pt idx="22">
                  <c:v>-0.15525894983707506</c:v>
                </c:pt>
                <c:pt idx="23">
                  <c:v>-0.11369937818407491</c:v>
                </c:pt>
                <c:pt idx="24">
                  <c:v>-0.21528572964752613</c:v>
                </c:pt>
                <c:pt idx="25">
                  <c:v>-3.495821844092302E-2</c:v>
                </c:pt>
                <c:pt idx="26">
                  <c:v>-0.30766126216863121</c:v>
                </c:pt>
                <c:pt idx="27">
                  <c:v>-3.9505092722599833E-2</c:v>
                </c:pt>
                <c:pt idx="28">
                  <c:v>-9.6281405383479957E-2</c:v>
                </c:pt>
                <c:pt idx="29">
                  <c:v>-0.2155597551276533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34-414B-AC08-3FDD100AD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2537023"/>
        <c:axId val="1852533183"/>
      </c:barChart>
      <c:catAx>
        <c:axId val="185253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2533183"/>
        <c:crosses val="autoZero"/>
        <c:auto val="1"/>
        <c:lblAlgn val="ctr"/>
        <c:lblOffset val="100"/>
        <c:noMultiLvlLbl val="0"/>
      </c:catAx>
      <c:valAx>
        <c:axId val="1852533183"/>
        <c:scaling>
          <c:orientation val="minMax"/>
          <c:max val="10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25370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/>
              <a:t>Décomposition</a:t>
            </a:r>
            <a:r>
              <a:rPr lang="fr-FR" sz="1400" b="1" baseline="0"/>
              <a:t> de l'évolution du patrimoine des ménages en France</a:t>
            </a:r>
          </a:p>
          <a:p>
            <a:pPr>
              <a:defRPr sz="1400" b="1"/>
            </a:pPr>
            <a:r>
              <a:rPr lang="fr-FR" sz="1400" b="1" baseline="0"/>
              <a:t>(en années de revenu)</a:t>
            </a:r>
            <a:endParaRPr lang="fr-FR" sz="1400" b="1"/>
          </a:p>
        </c:rich>
      </c:tx>
      <c:layout>
        <c:manualLayout>
          <c:xMode val="edge"/>
          <c:yMode val="edge"/>
          <c:x val="0.20220079421526485"/>
          <c:y val="1.4613279138530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2.3501574891379638E-2"/>
          <c:y val="9.8974031954987163E-2"/>
          <c:w val="0.96194024439975734"/>
          <c:h val="0.85804052808923115"/>
        </c:manualLayout>
      </c:layout>
      <c:barChart>
        <c:barDir val="col"/>
        <c:grouping val="stacked"/>
        <c:varyColors val="0"/>
        <c:ser>
          <c:idx val="0"/>
          <c:order val="0"/>
          <c:tx>
            <c:v>Valeur du patrimoine en 1995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Variations!$CI$125:$DL$125</c:f>
              <c:numCache>
                <c:formatCode>0.0</c:formatCode>
                <c:ptCount val="30"/>
                <c:pt idx="0">
                  <c:v>4.7956251429801782</c:v>
                </c:pt>
                <c:pt idx="1">
                  <c:v>4.7956251429801782</c:v>
                </c:pt>
                <c:pt idx="2">
                  <c:v>4.7956251429801782</c:v>
                </c:pt>
                <c:pt idx="3">
                  <c:v>4.7956251429801782</c:v>
                </c:pt>
                <c:pt idx="4">
                  <c:v>4.7956251429801782</c:v>
                </c:pt>
                <c:pt idx="5">
                  <c:v>4.7956251429801782</c:v>
                </c:pt>
                <c:pt idx="6">
                  <c:v>4.7956251429801782</c:v>
                </c:pt>
                <c:pt idx="7">
                  <c:v>4.7956251429801782</c:v>
                </c:pt>
                <c:pt idx="8">
                  <c:v>4.7956251429801782</c:v>
                </c:pt>
                <c:pt idx="9">
                  <c:v>4.7956251429801782</c:v>
                </c:pt>
                <c:pt idx="10">
                  <c:v>4.7956251429801782</c:v>
                </c:pt>
                <c:pt idx="11">
                  <c:v>4.7956251429801782</c:v>
                </c:pt>
                <c:pt idx="12">
                  <c:v>4.7956251429801782</c:v>
                </c:pt>
                <c:pt idx="13">
                  <c:v>4.7956251429801782</c:v>
                </c:pt>
                <c:pt idx="14">
                  <c:v>4.7956251429801782</c:v>
                </c:pt>
                <c:pt idx="15">
                  <c:v>4.7956251429801782</c:v>
                </c:pt>
                <c:pt idx="16">
                  <c:v>4.7956251429801782</c:v>
                </c:pt>
                <c:pt idx="17">
                  <c:v>4.7956251429801782</c:v>
                </c:pt>
                <c:pt idx="18">
                  <c:v>4.7956251429801782</c:v>
                </c:pt>
                <c:pt idx="19">
                  <c:v>4.7956251429801782</c:v>
                </c:pt>
                <c:pt idx="20">
                  <c:v>4.7956251429801782</c:v>
                </c:pt>
                <c:pt idx="21">
                  <c:v>4.7956251429801782</c:v>
                </c:pt>
                <c:pt idx="22">
                  <c:v>4.7956251429801782</c:v>
                </c:pt>
                <c:pt idx="23">
                  <c:v>4.7956251429801782</c:v>
                </c:pt>
                <c:pt idx="24">
                  <c:v>4.7956251429801782</c:v>
                </c:pt>
                <c:pt idx="25">
                  <c:v>4.7956251429801782</c:v>
                </c:pt>
                <c:pt idx="26">
                  <c:v>4.7956251429801782</c:v>
                </c:pt>
                <c:pt idx="27">
                  <c:v>4.7956251429801782</c:v>
                </c:pt>
                <c:pt idx="28">
                  <c:v>4.7956251429801782</c:v>
                </c:pt>
                <c:pt idx="29">
                  <c:v>4.7956251429801782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4-4B23-BF94-54701607491D}"/>
            </c:ext>
          </c:extLst>
        </c:ser>
        <c:ser>
          <c:idx val="2"/>
          <c:order val="1"/>
          <c:tx>
            <c:v>Evolution du prix des actifs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Variations!$CI$127:$DL$127</c:f>
              <c:numCache>
                <c:formatCode>0.00</c:formatCode>
                <c:ptCount val="30"/>
                <c:pt idx="1">
                  <c:v>0.13022403669989469</c:v>
                </c:pt>
                <c:pt idx="2">
                  <c:v>0.22489417587677707</c:v>
                </c:pt>
                <c:pt idx="3">
                  <c:v>0.43707644168581727</c:v>
                </c:pt>
                <c:pt idx="4">
                  <c:v>0.94389089515847047</c:v>
                </c:pt>
                <c:pt idx="5">
                  <c:v>1.2285971137434566</c:v>
                </c:pt>
                <c:pt idx="6">
                  <c:v>1.3038453198850755</c:v>
                </c:pt>
                <c:pt idx="7">
                  <c:v>1.5555302921679024</c:v>
                </c:pt>
                <c:pt idx="8">
                  <c:v>2.123043037737923</c:v>
                </c:pt>
                <c:pt idx="9">
                  <c:v>2.8228769632747683</c:v>
                </c:pt>
                <c:pt idx="10">
                  <c:v>3.5956226529460369</c:v>
                </c:pt>
                <c:pt idx="11">
                  <c:v>4.2525850069360391</c:v>
                </c:pt>
                <c:pt idx="12">
                  <c:v>4.5201366054927794</c:v>
                </c:pt>
                <c:pt idx="13">
                  <c:v>3.8996714004049964</c:v>
                </c:pt>
                <c:pt idx="14">
                  <c:v>3.9436124008757028</c:v>
                </c:pt>
                <c:pt idx="15">
                  <c:v>4.4161333548329056</c:v>
                </c:pt>
                <c:pt idx="16">
                  <c:v>4.5020678771407319</c:v>
                </c:pt>
                <c:pt idx="17">
                  <c:v>4.4916078173316505</c:v>
                </c:pt>
                <c:pt idx="18">
                  <c:v>4.4319193787947766</c:v>
                </c:pt>
                <c:pt idx="19">
                  <c:v>4.3586928341723512</c:v>
                </c:pt>
                <c:pt idx="20">
                  <c:v>4.4195033352975255</c:v>
                </c:pt>
                <c:pt idx="21">
                  <c:v>4.5690522924687738</c:v>
                </c:pt>
                <c:pt idx="22">
                  <c:v>4.816014912659349</c:v>
                </c:pt>
                <c:pt idx="23">
                  <c:v>4.8714210216188807</c:v>
                </c:pt>
                <c:pt idx="24">
                  <c:v>5.3120222533021995</c:v>
                </c:pt>
                <c:pt idx="25">
                  <c:v>5.6482088869200577</c:v>
                </c:pt>
                <c:pt idx="26">
                  <c:v>6.2067770798943958</c:v>
                </c:pt>
                <c:pt idx="27">
                  <c:v>6.0887546961188965</c:v>
                </c:pt>
                <c:pt idx="28">
                  <c:v>5.9989636963920079</c:v>
                </c:pt>
                <c:pt idx="29">
                  <c:v>5.8983327751244481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34-4B23-BF94-54701607491D}"/>
            </c:ext>
          </c:extLst>
        </c:ser>
        <c:ser>
          <c:idx val="1"/>
          <c:order val="2"/>
          <c:tx>
            <c:v>Epargne nette des dettes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Variations!$CI$126:$DL$126</c:f>
              <c:numCache>
                <c:formatCode>0.00</c:formatCode>
                <c:ptCount val="30"/>
                <c:pt idx="1">
                  <c:v>0.13002731771034834</c:v>
                </c:pt>
                <c:pt idx="2">
                  <c:v>0.26511579143492181</c:v>
                </c:pt>
                <c:pt idx="3">
                  <c:v>0.39416494519374956</c:v>
                </c:pt>
                <c:pt idx="4">
                  <c:v>0.53391175445159234</c:v>
                </c:pt>
                <c:pt idx="5">
                  <c:v>0.66969833196161788</c:v>
                </c:pt>
                <c:pt idx="6">
                  <c:v>0.81675265038172806</c:v>
                </c:pt>
                <c:pt idx="7">
                  <c:v>0.95538198545937347</c:v>
                </c:pt>
                <c:pt idx="8">
                  <c:v>1.1015103737868284</c:v>
                </c:pt>
                <c:pt idx="9">
                  <c:v>1.2465947627872918</c:v>
                </c:pt>
                <c:pt idx="10">
                  <c:v>1.3718818379627111</c:v>
                </c:pt>
                <c:pt idx="11">
                  <c:v>1.5121524610302748</c:v>
                </c:pt>
                <c:pt idx="12">
                  <c:v>1.6496194087989016</c:v>
                </c:pt>
                <c:pt idx="13">
                  <c:v>1.8038579222837456</c:v>
                </c:pt>
                <c:pt idx="14">
                  <c:v>1.951294038973296</c:v>
                </c:pt>
                <c:pt idx="15">
                  <c:v>2.1071729235542445</c:v>
                </c:pt>
                <c:pt idx="16">
                  <c:v>2.2495836049181368</c:v>
                </c:pt>
                <c:pt idx="17">
                  <c:v>2.3866229094551312</c:v>
                </c:pt>
                <c:pt idx="18">
                  <c:v>2.5410863150974201</c:v>
                </c:pt>
                <c:pt idx="19">
                  <c:v>2.6783549163274922</c:v>
                </c:pt>
                <c:pt idx="20">
                  <c:v>2.8131969974677689</c:v>
                </c:pt>
                <c:pt idx="21">
                  <c:v>2.9473129756876828</c:v>
                </c:pt>
                <c:pt idx="22">
                  <c:v>3.0686351801305896</c:v>
                </c:pt>
                <c:pt idx="23">
                  <c:v>3.2041524502633116</c:v>
                </c:pt>
                <c:pt idx="24">
                  <c:v>3.3474799739401466</c:v>
                </c:pt>
                <c:pt idx="25">
                  <c:v>3.5412536643061818</c:v>
                </c:pt>
                <c:pt idx="26">
                  <c:v>3.7115231441046368</c:v>
                </c:pt>
                <c:pt idx="27">
                  <c:v>3.8763390760359924</c:v>
                </c:pt>
                <c:pt idx="28">
                  <c:v>4.0375336690021184</c:v>
                </c:pt>
                <c:pt idx="29">
                  <c:v>4.2024909413073503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4-4B23-BF94-54701607491D}"/>
            </c:ext>
          </c:extLst>
        </c:ser>
        <c:ser>
          <c:idx val="3"/>
          <c:order val="3"/>
          <c:tx>
            <c:v>Taxe inflationniste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Variations!$CI$128:$DL$128</c:f>
              <c:numCache>
                <c:formatCode>0.00</c:formatCode>
                <c:ptCount val="30"/>
                <c:pt idx="1">
                  <c:v>-6.9309778520646972E-2</c:v>
                </c:pt>
                <c:pt idx="2">
                  <c:v>-0.10560644432386487</c:v>
                </c:pt>
                <c:pt idx="3">
                  <c:v>-0.11197118602914491</c:v>
                </c:pt>
                <c:pt idx="4">
                  <c:v>-8.8404835009021465E-2</c:v>
                </c:pt>
                <c:pt idx="5">
                  <c:v>-0.19743050454575775</c:v>
                </c:pt>
                <c:pt idx="6">
                  <c:v>-0.29181533905342294</c:v>
                </c:pt>
                <c:pt idx="7">
                  <c:v>-0.34423973587888546</c:v>
                </c:pt>
                <c:pt idx="8">
                  <c:v>-0.42917716132409911</c:v>
                </c:pt>
                <c:pt idx="9">
                  <c:v>-0.55389125001944906</c:v>
                </c:pt>
                <c:pt idx="10">
                  <c:v>-0.67174315350990976</c:v>
                </c:pt>
                <c:pt idx="11">
                  <c:v>-0.8186620167831391</c:v>
                </c:pt>
                <c:pt idx="12">
                  <c:v>-0.96010108262470073</c:v>
                </c:pt>
                <c:pt idx="13">
                  <c:v>-1.1780830736505803</c:v>
                </c:pt>
                <c:pt idx="14">
                  <c:v>-1.0600958772683406</c:v>
                </c:pt>
                <c:pt idx="15">
                  <c:v>-1.1464940259448848</c:v>
                </c:pt>
                <c:pt idx="16">
                  <c:v>-1.282065154078557</c:v>
                </c:pt>
                <c:pt idx="17">
                  <c:v>-1.3819204331863217</c:v>
                </c:pt>
                <c:pt idx="18">
                  <c:v>-1.4278348492669533</c:v>
                </c:pt>
                <c:pt idx="19">
                  <c:v>-1.4372989503183684</c:v>
                </c:pt>
                <c:pt idx="20">
                  <c:v>-1.4550833876749041</c:v>
                </c:pt>
                <c:pt idx="21">
                  <c:v>-1.4704816928916338</c:v>
                </c:pt>
                <c:pt idx="22">
                  <c:v>-1.5315644377993014</c:v>
                </c:pt>
                <c:pt idx="23">
                  <c:v>-1.6874130982805373</c:v>
                </c:pt>
                <c:pt idx="24">
                  <c:v>-1.7504174952666538</c:v>
                </c:pt>
                <c:pt idx="25">
                  <c:v>-1.8144460332930252</c:v>
                </c:pt>
                <c:pt idx="26">
                  <c:v>-1.9308387484362322</c:v>
                </c:pt>
                <c:pt idx="27">
                  <c:v>-2.3645684155652029</c:v>
                </c:pt>
                <c:pt idx="28">
                  <c:v>-2.9402078988280058</c:v>
                </c:pt>
                <c:pt idx="29">
                  <c:v>-3.1123864859985213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34-4B23-BF94-54701607491D}"/>
            </c:ext>
          </c:extLst>
        </c:ser>
        <c:ser>
          <c:idx val="4"/>
          <c:order val="4"/>
          <c:tx>
            <c:v>Autres (consommation de capital fixe, variation du revenu réel...)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Niveau!$T$4:$AW$4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Variations!$CI$129:$DL$129</c:f>
              <c:numCache>
                <c:formatCode>0.00</c:formatCode>
                <c:ptCount val="30"/>
                <c:pt idx="1">
                  <c:v>-0.10379287620037658</c:v>
                </c:pt>
                <c:pt idx="2">
                  <c:v>-0.23670493265373491</c:v>
                </c:pt>
                <c:pt idx="3">
                  <c:v>-0.4190510111943867</c:v>
                </c:pt>
                <c:pt idx="4">
                  <c:v>-0.61575150035135595</c:v>
                </c:pt>
                <c:pt idx="5">
                  <c:v>-0.85815174557410645</c:v>
                </c:pt>
                <c:pt idx="6">
                  <c:v>-1.071814176423423</c:v>
                </c:pt>
                <c:pt idx="7">
                  <c:v>-1.2573862182230851</c:v>
                </c:pt>
                <c:pt idx="8">
                  <c:v>-1.3577337936183402</c:v>
                </c:pt>
                <c:pt idx="9">
                  <c:v>-1.5094270773883074</c:v>
                </c:pt>
                <c:pt idx="10">
                  <c:v>-1.6358910679803562</c:v>
                </c:pt>
                <c:pt idx="11">
                  <c:v>-1.8713520666034531</c:v>
                </c:pt>
                <c:pt idx="12">
                  <c:v>-2.0707550914576625</c:v>
                </c:pt>
                <c:pt idx="13">
                  <c:v>-2.1344459158954732</c:v>
                </c:pt>
                <c:pt idx="14">
                  <c:v>-2.3461470339460528</c:v>
                </c:pt>
                <c:pt idx="15">
                  <c:v>-2.4907725937088543</c:v>
                </c:pt>
                <c:pt idx="16">
                  <c:v>-2.5387009623148717</c:v>
                </c:pt>
                <c:pt idx="17">
                  <c:v>-2.5411732279924344</c:v>
                </c:pt>
                <c:pt idx="18">
                  <c:v>-2.4708302473345847</c:v>
                </c:pt>
                <c:pt idx="19">
                  <c:v>-2.5716878320294247</c:v>
                </c:pt>
                <c:pt idx="20">
                  <c:v>-2.6641148400701473</c:v>
                </c:pt>
                <c:pt idx="21">
                  <c:v>-2.6784912749670542</c:v>
                </c:pt>
                <c:pt idx="22">
                  <c:v>-2.8337502248041293</c:v>
                </c:pt>
                <c:pt idx="23">
                  <c:v>-2.947449602988204</c:v>
                </c:pt>
                <c:pt idx="24">
                  <c:v>-3.1627353326357301</c:v>
                </c:pt>
                <c:pt idx="25">
                  <c:v>-3.1976935510766533</c:v>
                </c:pt>
                <c:pt idx="26">
                  <c:v>-3.5053548132452845</c:v>
                </c:pt>
                <c:pt idx="27">
                  <c:v>-3.5448599059678845</c:v>
                </c:pt>
                <c:pt idx="28">
                  <c:v>-3.6411413113513644</c:v>
                </c:pt>
                <c:pt idx="29">
                  <c:v>-3.8567010664790176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34-4B23-BF94-547016074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89151"/>
        <c:axId val="287488671"/>
      </c:barChart>
      <c:lineChart>
        <c:grouping val="standard"/>
        <c:varyColors val="0"/>
        <c:ser>
          <c:idx val="5"/>
          <c:order val="5"/>
          <c:tx>
            <c:v>Evolution du patrimoine des ménages</c:v>
          </c:tx>
          <c:spPr>
            <a:ln w="444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Variations!$CI$121:$DL$121</c:f>
              <c:numCache>
                <c:formatCode>0.0</c:formatCode>
                <c:ptCount val="30"/>
                <c:pt idx="0">
                  <c:v>4.7956251429801782</c:v>
                </c:pt>
                <c:pt idx="1">
                  <c:v>4.8827738426693976</c:v>
                </c:pt>
                <c:pt idx="2">
                  <c:v>4.9433237333142772</c:v>
                </c:pt>
                <c:pt idx="3">
                  <c:v>5.0958443326362133</c:v>
                </c:pt>
                <c:pt idx="4">
                  <c:v>5.5692714572298634</c:v>
                </c:pt>
                <c:pt idx="5">
                  <c:v>5.6383383385653882</c:v>
                </c:pt>
                <c:pt idx="6">
                  <c:v>5.5525935977701355</c:v>
                </c:pt>
                <c:pt idx="7">
                  <c:v>5.7049114665054832</c:v>
                </c:pt>
                <c:pt idx="8">
                  <c:v>6.23326759956249</c:v>
                </c:pt>
                <c:pt idx="9">
                  <c:v>6.8017785416344818</c:v>
                </c:pt>
                <c:pt idx="10">
                  <c:v>7.4554954123986601</c:v>
                </c:pt>
                <c:pt idx="11">
                  <c:v>7.8703485275598997</c:v>
                </c:pt>
                <c:pt idx="12">
                  <c:v>7.9345249831894957</c:v>
                </c:pt>
                <c:pt idx="13">
                  <c:v>7.1866254761228667</c:v>
                </c:pt>
                <c:pt idx="14">
                  <c:v>7.2842886716147834</c:v>
                </c:pt>
                <c:pt idx="15">
                  <c:v>7.6816648017135893</c:v>
                </c:pt>
                <c:pt idx="16">
                  <c:v>7.7265105086456183</c:v>
                </c:pt>
                <c:pt idx="17">
                  <c:v>7.7507622085882044</c:v>
                </c:pt>
                <c:pt idx="18">
                  <c:v>7.8699657402708381</c:v>
                </c:pt>
                <c:pt idx="19">
                  <c:v>7.8236861111322291</c:v>
                </c:pt>
                <c:pt idx="20">
                  <c:v>7.9091272480004218</c:v>
                </c:pt>
                <c:pt idx="21">
                  <c:v>8.1630174432779476</c:v>
                </c:pt>
                <c:pt idx="22">
                  <c:v>8.3149605731666867</c:v>
                </c:pt>
                <c:pt idx="23">
                  <c:v>8.2363359135936296</c:v>
                </c:pt>
                <c:pt idx="24">
                  <c:v>8.5419745423201405</c:v>
                </c:pt>
                <c:pt idx="25">
                  <c:v>8.9729481098367394</c:v>
                </c:pt>
                <c:pt idx="26">
                  <c:v>9.2777318052976945</c:v>
                </c:pt>
                <c:pt idx="27">
                  <c:v>8.8512905936019806</c:v>
                </c:pt>
                <c:pt idx="28">
                  <c:v>8.2507732981949342</c:v>
                </c:pt>
                <c:pt idx="29">
                  <c:v>7.9273613069344382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34-4B23-BF94-547016074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9887456"/>
        <c:axId val="1849873536"/>
      </c:lineChart>
      <c:catAx>
        <c:axId val="287489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7488671"/>
        <c:crosses val="autoZero"/>
        <c:auto val="1"/>
        <c:lblAlgn val="ctr"/>
        <c:lblOffset val="100"/>
        <c:noMultiLvlLbl val="0"/>
      </c:catAx>
      <c:valAx>
        <c:axId val="287488671"/>
        <c:scaling>
          <c:orientation val="minMax"/>
          <c:max val="16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7489151"/>
        <c:crosses val="autoZero"/>
        <c:crossBetween val="between"/>
        <c:majorUnit val="2"/>
      </c:valAx>
      <c:valAx>
        <c:axId val="1849873536"/>
        <c:scaling>
          <c:orientation val="minMax"/>
          <c:max val="16"/>
          <c:min val="-8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9887456"/>
        <c:crosses val="max"/>
        <c:crossBetween val="between"/>
        <c:majorUnit val="2"/>
      </c:valAx>
      <c:catAx>
        <c:axId val="18498874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49873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8549687798634831E-2"/>
          <c:y val="0.1076799083839711"/>
          <c:w val="0.6600963020239804"/>
          <c:h val="0.23417526474099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541D54-25B7-43B0-AF6E-B8E1C161688D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7ECA7D-091A-4B6F-AC30-51FFD4807921}">
  <sheetPr/>
  <sheetViews>
    <sheetView zoomScale="12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760CE5-40A2-4B0B-8668-AE1534329B09}">
  <sheetPr/>
  <sheetViews>
    <sheetView zoomScale="12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D1CF72-A453-42EF-8D91-6F5BF8CF2AE3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945577" cy="91098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F143186-5F03-1DC4-5432-2F0A2C7DCE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674" cy="606646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A9BA69A-6C7D-D268-58CD-2556EB620B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1674" cy="606646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291191-6B05-2B7F-D11F-DE53ACA3C3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81A5B66-5350-AD0A-056C-886AE8921D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workbookViewId="0"/>
  </sheetViews>
  <sheetFormatPr baseColWidth="10" defaultColWidth="8.81640625" defaultRowHeight="14.5" x14ac:dyDescent="0.35"/>
  <cols>
    <col min="1" max="1" width="26.36328125" bestFit="1" customWidth="1"/>
    <col min="2" max="2" width="39.453125" bestFit="1" customWidth="1"/>
    <col min="3" max="3" width="48.81640625" bestFit="1" customWidth="1"/>
    <col min="4" max="4" width="78.1796875" bestFit="1" customWidth="1"/>
  </cols>
  <sheetData>
    <row r="1" spans="1:5" x14ac:dyDescent="0.35">
      <c r="A1" t="s">
        <v>141</v>
      </c>
      <c r="B1" t="s">
        <v>140</v>
      </c>
    </row>
    <row r="2" spans="1:5" x14ac:dyDescent="0.35">
      <c r="A2" t="s">
        <v>142</v>
      </c>
      <c r="B2" t="s">
        <v>138</v>
      </c>
    </row>
    <row r="3" spans="1:5" x14ac:dyDescent="0.35">
      <c r="A3" t="s">
        <v>139</v>
      </c>
      <c r="B3" t="s">
        <v>140</v>
      </c>
      <c r="C3" t="s">
        <v>136</v>
      </c>
    </row>
    <row r="4" spans="1:5" x14ac:dyDescent="0.35">
      <c r="A4" t="s">
        <v>143</v>
      </c>
      <c r="B4" t="s">
        <v>144</v>
      </c>
    </row>
    <row r="6" spans="1:5" x14ac:dyDescent="0.35">
      <c r="A6" t="s">
        <v>145</v>
      </c>
      <c r="B6" t="s">
        <v>146</v>
      </c>
      <c r="C6" t="s">
        <v>147</v>
      </c>
      <c r="D6" t="s">
        <v>148</v>
      </c>
    </row>
    <row r="7" spans="1:5" x14ac:dyDescent="0.35">
      <c r="A7" t="s">
        <v>149</v>
      </c>
      <c r="B7" t="s">
        <v>150</v>
      </c>
      <c r="C7" t="s">
        <v>151</v>
      </c>
      <c r="D7" t="s">
        <v>152</v>
      </c>
    </row>
    <row r="8" spans="1:5" x14ac:dyDescent="0.35">
      <c r="A8" t="s">
        <v>153</v>
      </c>
      <c r="B8" t="s">
        <v>154</v>
      </c>
      <c r="C8" t="s">
        <v>155</v>
      </c>
      <c r="D8" t="s">
        <v>155</v>
      </c>
    </row>
    <row r="9" spans="1:5" x14ac:dyDescent="0.35">
      <c r="A9" t="s">
        <v>156</v>
      </c>
      <c r="B9" t="s">
        <v>157</v>
      </c>
    </row>
    <row r="10" spans="1:5" x14ac:dyDescent="0.35">
      <c r="A10" t="s">
        <v>158</v>
      </c>
      <c r="B10" t="s">
        <v>159</v>
      </c>
      <c r="C10" t="s">
        <v>160</v>
      </c>
      <c r="D10" t="s">
        <v>161</v>
      </c>
    </row>
    <row r="11" spans="1:5" x14ac:dyDescent="0.35">
      <c r="A11" t="s">
        <v>162</v>
      </c>
      <c r="B11" t="s">
        <v>163</v>
      </c>
      <c r="C11" t="s">
        <v>164</v>
      </c>
      <c r="D11" t="s">
        <v>165</v>
      </c>
      <c r="E11" t="s">
        <v>48</v>
      </c>
    </row>
    <row r="12" spans="1:5" x14ac:dyDescent="0.35">
      <c r="A12" t="s">
        <v>162</v>
      </c>
      <c r="B12" t="s">
        <v>163</v>
      </c>
      <c r="C12" t="s">
        <v>166</v>
      </c>
      <c r="D12" t="s">
        <v>167</v>
      </c>
      <c r="E12" t="s">
        <v>48</v>
      </c>
    </row>
    <row r="13" spans="1:5" x14ac:dyDescent="0.35">
      <c r="A13" t="s">
        <v>168</v>
      </c>
      <c r="B13" t="s">
        <v>169</v>
      </c>
      <c r="C13" t="s">
        <v>170</v>
      </c>
      <c r="D13" t="s">
        <v>171</v>
      </c>
      <c r="E13" t="s">
        <v>48</v>
      </c>
    </row>
    <row r="14" spans="1:5" x14ac:dyDescent="0.35">
      <c r="A14" t="s">
        <v>172</v>
      </c>
      <c r="B14" t="s">
        <v>173</v>
      </c>
      <c r="C14" t="s">
        <v>174</v>
      </c>
      <c r="D14" t="s">
        <v>175</v>
      </c>
      <c r="E14" t="s">
        <v>48</v>
      </c>
    </row>
    <row r="15" spans="1:5" x14ac:dyDescent="0.35">
      <c r="A15" t="s">
        <v>176</v>
      </c>
      <c r="B15" t="s">
        <v>177</v>
      </c>
      <c r="C15" t="s">
        <v>178</v>
      </c>
      <c r="D15" t="s">
        <v>179</v>
      </c>
      <c r="E15" t="s">
        <v>48</v>
      </c>
    </row>
    <row r="16" spans="1:5" x14ac:dyDescent="0.35">
      <c r="A16" t="s">
        <v>180</v>
      </c>
      <c r="B16" t="s">
        <v>181</v>
      </c>
      <c r="C16" t="s">
        <v>182</v>
      </c>
      <c r="D16" t="s">
        <v>183</v>
      </c>
      <c r="E16" t="s">
        <v>48</v>
      </c>
    </row>
    <row r="17" spans="1:5" x14ac:dyDescent="0.35">
      <c r="A17" t="s">
        <v>184</v>
      </c>
      <c r="B17" t="s">
        <v>185</v>
      </c>
      <c r="C17" t="s">
        <v>186</v>
      </c>
      <c r="D17" t="s">
        <v>171</v>
      </c>
      <c r="E17" t="s">
        <v>48</v>
      </c>
    </row>
    <row r="18" spans="1:5" x14ac:dyDescent="0.35">
      <c r="A18" t="s">
        <v>187</v>
      </c>
      <c r="B18" t="s">
        <v>188</v>
      </c>
      <c r="C18" t="s">
        <v>57</v>
      </c>
      <c r="D18" t="s">
        <v>189</v>
      </c>
      <c r="E18" t="s">
        <v>48</v>
      </c>
    </row>
    <row r="19" spans="1:5" x14ac:dyDescent="0.35">
      <c r="A19" t="s">
        <v>187</v>
      </c>
      <c r="B19" t="s">
        <v>188</v>
      </c>
      <c r="C19" t="s">
        <v>61</v>
      </c>
      <c r="D19" t="s">
        <v>190</v>
      </c>
      <c r="E19" t="s">
        <v>48</v>
      </c>
    </row>
    <row r="20" spans="1:5" x14ac:dyDescent="0.35">
      <c r="A20" t="s">
        <v>187</v>
      </c>
      <c r="B20" t="s">
        <v>188</v>
      </c>
      <c r="C20" t="s">
        <v>89</v>
      </c>
      <c r="D20" t="s">
        <v>90</v>
      </c>
      <c r="E20" t="s">
        <v>48</v>
      </c>
    </row>
    <row r="21" spans="1:5" x14ac:dyDescent="0.35">
      <c r="A21" t="s">
        <v>187</v>
      </c>
      <c r="B21" t="s">
        <v>188</v>
      </c>
      <c r="C21" t="s">
        <v>123</v>
      </c>
      <c r="D21" t="s">
        <v>191</v>
      </c>
      <c r="E21" t="s">
        <v>48</v>
      </c>
    </row>
    <row r="22" spans="1:5" x14ac:dyDescent="0.35">
      <c r="A22" t="s">
        <v>187</v>
      </c>
      <c r="B22" t="s">
        <v>188</v>
      </c>
      <c r="C22" t="s">
        <v>111</v>
      </c>
      <c r="D22" t="s">
        <v>171</v>
      </c>
      <c r="E22" t="s">
        <v>48</v>
      </c>
    </row>
    <row r="23" spans="1:5" x14ac:dyDescent="0.35">
      <c r="A23" t="s">
        <v>187</v>
      </c>
      <c r="B23" t="s">
        <v>188</v>
      </c>
      <c r="C23" t="s">
        <v>65</v>
      </c>
      <c r="D23" t="s">
        <v>192</v>
      </c>
      <c r="E23" t="s">
        <v>48</v>
      </c>
    </row>
    <row r="24" spans="1:5" x14ac:dyDescent="0.35">
      <c r="A24" t="s">
        <v>187</v>
      </c>
      <c r="B24" t="s">
        <v>188</v>
      </c>
      <c r="C24" t="s">
        <v>127</v>
      </c>
      <c r="D24" t="s">
        <v>128</v>
      </c>
      <c r="E24" t="s">
        <v>48</v>
      </c>
    </row>
    <row r="25" spans="1:5" x14ac:dyDescent="0.35">
      <c r="A25" t="s">
        <v>187</v>
      </c>
      <c r="B25" t="s">
        <v>188</v>
      </c>
      <c r="C25" t="s">
        <v>113</v>
      </c>
      <c r="D25" t="s">
        <v>114</v>
      </c>
      <c r="E25" t="s">
        <v>48</v>
      </c>
    </row>
    <row r="26" spans="1:5" x14ac:dyDescent="0.35">
      <c r="A26" t="s">
        <v>187</v>
      </c>
      <c r="B26" t="s">
        <v>188</v>
      </c>
      <c r="C26" t="s">
        <v>119</v>
      </c>
      <c r="D26" t="s">
        <v>120</v>
      </c>
      <c r="E26" t="s">
        <v>48</v>
      </c>
    </row>
    <row r="27" spans="1:5" x14ac:dyDescent="0.35">
      <c r="A27" t="s">
        <v>187</v>
      </c>
      <c r="B27" t="s">
        <v>188</v>
      </c>
      <c r="C27" t="s">
        <v>93</v>
      </c>
      <c r="D27" t="s">
        <v>193</v>
      </c>
      <c r="E27" t="s">
        <v>48</v>
      </c>
    </row>
    <row r="28" spans="1:5" x14ac:dyDescent="0.35">
      <c r="A28" t="s">
        <v>187</v>
      </c>
      <c r="B28" t="s">
        <v>188</v>
      </c>
      <c r="C28" t="s">
        <v>129</v>
      </c>
      <c r="D28" t="s">
        <v>130</v>
      </c>
      <c r="E28" t="s">
        <v>48</v>
      </c>
    </row>
    <row r="29" spans="1:5" x14ac:dyDescent="0.35">
      <c r="A29" t="s">
        <v>187</v>
      </c>
      <c r="B29" t="s">
        <v>188</v>
      </c>
      <c r="C29" t="s">
        <v>75</v>
      </c>
      <c r="D29" t="s">
        <v>194</v>
      </c>
      <c r="E29" t="s">
        <v>48</v>
      </c>
    </row>
    <row r="30" spans="1:5" x14ac:dyDescent="0.35">
      <c r="A30" t="s">
        <v>187</v>
      </c>
      <c r="B30" t="s">
        <v>188</v>
      </c>
      <c r="C30" t="s">
        <v>99</v>
      </c>
      <c r="D30" t="s">
        <v>195</v>
      </c>
      <c r="E30" t="s">
        <v>48</v>
      </c>
    </row>
    <row r="31" spans="1:5" x14ac:dyDescent="0.35">
      <c r="A31" t="s">
        <v>187</v>
      </c>
      <c r="B31" t="s">
        <v>188</v>
      </c>
      <c r="C31" t="s">
        <v>83</v>
      </c>
      <c r="D31" t="s">
        <v>196</v>
      </c>
      <c r="E31" t="s">
        <v>48</v>
      </c>
    </row>
    <row r="32" spans="1:5" x14ac:dyDescent="0.35">
      <c r="A32" t="s">
        <v>187</v>
      </c>
      <c r="B32" t="s">
        <v>188</v>
      </c>
      <c r="C32" t="s">
        <v>109</v>
      </c>
      <c r="D32" t="s">
        <v>197</v>
      </c>
      <c r="E32" t="s">
        <v>48</v>
      </c>
    </row>
    <row r="33" spans="1:5" x14ac:dyDescent="0.35">
      <c r="A33" t="s">
        <v>187</v>
      </c>
      <c r="B33" t="s">
        <v>188</v>
      </c>
      <c r="C33" t="s">
        <v>49</v>
      </c>
      <c r="D33" t="s">
        <v>50</v>
      </c>
      <c r="E33" t="s">
        <v>48</v>
      </c>
    </row>
    <row r="34" spans="1:5" x14ac:dyDescent="0.35">
      <c r="A34" t="s">
        <v>187</v>
      </c>
      <c r="B34" t="s">
        <v>188</v>
      </c>
      <c r="C34" t="s">
        <v>51</v>
      </c>
      <c r="D34" t="s">
        <v>52</v>
      </c>
      <c r="E34" t="s">
        <v>48</v>
      </c>
    </row>
    <row r="35" spans="1:5" x14ac:dyDescent="0.35">
      <c r="A35" t="s">
        <v>187</v>
      </c>
      <c r="B35" t="s">
        <v>188</v>
      </c>
      <c r="C35" t="s">
        <v>69</v>
      </c>
      <c r="D35" t="s">
        <v>198</v>
      </c>
      <c r="E35" t="s">
        <v>48</v>
      </c>
    </row>
    <row r="36" spans="1:5" x14ac:dyDescent="0.35">
      <c r="A36" t="s">
        <v>187</v>
      </c>
      <c r="B36" t="s">
        <v>188</v>
      </c>
      <c r="C36" t="s">
        <v>125</v>
      </c>
      <c r="D36" t="s">
        <v>126</v>
      </c>
      <c r="E36" t="s">
        <v>48</v>
      </c>
    </row>
    <row r="37" spans="1:5" x14ac:dyDescent="0.35">
      <c r="A37" t="s">
        <v>187</v>
      </c>
      <c r="B37" t="s">
        <v>188</v>
      </c>
      <c r="C37" t="s">
        <v>85</v>
      </c>
      <c r="D37" t="s">
        <v>199</v>
      </c>
      <c r="E37" t="s">
        <v>48</v>
      </c>
    </row>
    <row r="38" spans="1:5" x14ac:dyDescent="0.35">
      <c r="A38" t="s">
        <v>187</v>
      </c>
      <c r="B38" t="s">
        <v>188</v>
      </c>
      <c r="C38" t="s">
        <v>71</v>
      </c>
      <c r="D38" t="s">
        <v>200</v>
      </c>
      <c r="E38" t="s">
        <v>48</v>
      </c>
    </row>
    <row r="39" spans="1:5" x14ac:dyDescent="0.35">
      <c r="A39" t="s">
        <v>187</v>
      </c>
      <c r="B39" t="s">
        <v>188</v>
      </c>
      <c r="C39" t="s">
        <v>55</v>
      </c>
      <c r="D39" t="s">
        <v>201</v>
      </c>
      <c r="E39" t="s">
        <v>48</v>
      </c>
    </row>
    <row r="40" spans="1:5" x14ac:dyDescent="0.35">
      <c r="A40" t="s">
        <v>187</v>
      </c>
      <c r="B40" t="s">
        <v>188</v>
      </c>
      <c r="C40" t="s">
        <v>87</v>
      </c>
      <c r="D40" t="s">
        <v>202</v>
      </c>
      <c r="E40" t="s">
        <v>48</v>
      </c>
    </row>
    <row r="41" spans="1:5" x14ac:dyDescent="0.35">
      <c r="A41" t="s">
        <v>187</v>
      </c>
      <c r="B41" t="s">
        <v>188</v>
      </c>
      <c r="C41" t="s">
        <v>79</v>
      </c>
      <c r="D41" t="s">
        <v>203</v>
      </c>
      <c r="E41" t="s">
        <v>48</v>
      </c>
    </row>
    <row r="42" spans="1:5" x14ac:dyDescent="0.35">
      <c r="A42" t="s">
        <v>187</v>
      </c>
      <c r="B42" t="s">
        <v>188</v>
      </c>
      <c r="C42" t="s">
        <v>103</v>
      </c>
      <c r="D42" t="s">
        <v>204</v>
      </c>
      <c r="E42" t="s">
        <v>48</v>
      </c>
    </row>
    <row r="43" spans="1:5" x14ac:dyDescent="0.35">
      <c r="A43" t="s">
        <v>187</v>
      </c>
      <c r="B43" t="s">
        <v>188</v>
      </c>
      <c r="C43" t="s">
        <v>117</v>
      </c>
      <c r="D43" t="s">
        <v>118</v>
      </c>
      <c r="E43" t="s">
        <v>48</v>
      </c>
    </row>
    <row r="44" spans="1:5" x14ac:dyDescent="0.35">
      <c r="A44" t="s">
        <v>187</v>
      </c>
      <c r="B44" t="s">
        <v>188</v>
      </c>
      <c r="C44" t="s">
        <v>63</v>
      </c>
      <c r="D44" t="s">
        <v>205</v>
      </c>
      <c r="E44" t="s">
        <v>48</v>
      </c>
    </row>
    <row r="45" spans="1:5" x14ac:dyDescent="0.35">
      <c r="A45" t="s">
        <v>187</v>
      </c>
      <c r="B45" t="s">
        <v>188</v>
      </c>
      <c r="C45" t="s">
        <v>131</v>
      </c>
      <c r="D45" t="s">
        <v>132</v>
      </c>
      <c r="E45" t="s">
        <v>48</v>
      </c>
    </row>
    <row r="46" spans="1:5" x14ac:dyDescent="0.35">
      <c r="A46" t="s">
        <v>187</v>
      </c>
      <c r="B46" t="s">
        <v>188</v>
      </c>
      <c r="C46" t="s">
        <v>67</v>
      </c>
      <c r="D46" t="s">
        <v>206</v>
      </c>
      <c r="E46" t="s">
        <v>48</v>
      </c>
    </row>
    <row r="47" spans="1:5" x14ac:dyDescent="0.35">
      <c r="A47" t="s">
        <v>187</v>
      </c>
      <c r="B47" t="s">
        <v>188</v>
      </c>
      <c r="C47" t="s">
        <v>91</v>
      </c>
      <c r="D47" t="s">
        <v>207</v>
      </c>
      <c r="E47" t="s">
        <v>48</v>
      </c>
    </row>
    <row r="48" spans="1:5" x14ac:dyDescent="0.35">
      <c r="A48" t="s">
        <v>187</v>
      </c>
      <c r="B48" t="s">
        <v>188</v>
      </c>
      <c r="C48" t="s">
        <v>59</v>
      </c>
      <c r="D48" t="s">
        <v>208</v>
      </c>
      <c r="E48" t="s">
        <v>48</v>
      </c>
    </row>
    <row r="49" spans="1:5" x14ac:dyDescent="0.35">
      <c r="A49" t="s">
        <v>187</v>
      </c>
      <c r="B49" t="s">
        <v>188</v>
      </c>
      <c r="C49" t="s">
        <v>77</v>
      </c>
      <c r="D49" t="s">
        <v>209</v>
      </c>
      <c r="E49" t="s">
        <v>48</v>
      </c>
    </row>
    <row r="50" spans="1:5" x14ac:dyDescent="0.35">
      <c r="A50" t="s">
        <v>187</v>
      </c>
      <c r="B50" t="s">
        <v>188</v>
      </c>
      <c r="C50" t="s">
        <v>95</v>
      </c>
      <c r="D50" t="s">
        <v>210</v>
      </c>
      <c r="E50" t="s">
        <v>48</v>
      </c>
    </row>
    <row r="51" spans="1:5" x14ac:dyDescent="0.35">
      <c r="A51" t="s">
        <v>187</v>
      </c>
      <c r="B51" t="s">
        <v>188</v>
      </c>
      <c r="C51" t="s">
        <v>107</v>
      </c>
      <c r="D51" t="s">
        <v>211</v>
      </c>
      <c r="E51" t="s">
        <v>48</v>
      </c>
    </row>
    <row r="52" spans="1:5" x14ac:dyDescent="0.35">
      <c r="A52" t="s">
        <v>187</v>
      </c>
      <c r="B52" t="s">
        <v>188</v>
      </c>
      <c r="C52" t="s">
        <v>97</v>
      </c>
      <c r="D52" t="s">
        <v>212</v>
      </c>
      <c r="E52" t="s">
        <v>48</v>
      </c>
    </row>
    <row r="53" spans="1:5" x14ac:dyDescent="0.35">
      <c r="A53" t="s">
        <v>187</v>
      </c>
      <c r="B53" t="s">
        <v>188</v>
      </c>
      <c r="C53" t="s">
        <v>121</v>
      </c>
      <c r="D53" t="s">
        <v>122</v>
      </c>
      <c r="E53" t="s">
        <v>48</v>
      </c>
    </row>
    <row r="54" spans="1:5" x14ac:dyDescent="0.35">
      <c r="A54" t="s">
        <v>187</v>
      </c>
      <c r="B54" t="s">
        <v>188</v>
      </c>
      <c r="C54" t="s">
        <v>81</v>
      </c>
      <c r="D54" t="s">
        <v>213</v>
      </c>
      <c r="E54" t="s">
        <v>48</v>
      </c>
    </row>
    <row r="55" spans="1:5" x14ac:dyDescent="0.35">
      <c r="A55" t="s">
        <v>187</v>
      </c>
      <c r="B55" t="s">
        <v>188</v>
      </c>
      <c r="C55" t="s">
        <v>53</v>
      </c>
      <c r="D55" t="s">
        <v>214</v>
      </c>
      <c r="E55" t="s">
        <v>48</v>
      </c>
    </row>
    <row r="56" spans="1:5" x14ac:dyDescent="0.35">
      <c r="A56" t="s">
        <v>187</v>
      </c>
      <c r="B56" t="s">
        <v>188</v>
      </c>
      <c r="C56" t="s">
        <v>101</v>
      </c>
      <c r="D56" t="s">
        <v>215</v>
      </c>
      <c r="E56" t="s">
        <v>48</v>
      </c>
    </row>
    <row r="57" spans="1:5" x14ac:dyDescent="0.35">
      <c r="A57" t="s">
        <v>187</v>
      </c>
      <c r="B57" t="s">
        <v>188</v>
      </c>
      <c r="C57" t="s">
        <v>105</v>
      </c>
      <c r="D57" t="s">
        <v>216</v>
      </c>
      <c r="E57" t="s">
        <v>48</v>
      </c>
    </row>
    <row r="58" spans="1:5" x14ac:dyDescent="0.35">
      <c r="A58" t="s">
        <v>187</v>
      </c>
      <c r="B58" t="s">
        <v>188</v>
      </c>
      <c r="C58" t="s">
        <v>73</v>
      </c>
      <c r="D58" t="s">
        <v>217</v>
      </c>
      <c r="E58" t="s">
        <v>48</v>
      </c>
    </row>
    <row r="59" spans="1:5" x14ac:dyDescent="0.35">
      <c r="A59" t="s">
        <v>187</v>
      </c>
      <c r="B59" t="s">
        <v>188</v>
      </c>
      <c r="C59" t="s">
        <v>115</v>
      </c>
      <c r="D59" t="s">
        <v>116</v>
      </c>
      <c r="E59" t="s">
        <v>48</v>
      </c>
    </row>
    <row r="60" spans="1:5" x14ac:dyDescent="0.35">
      <c r="A60" t="s">
        <v>187</v>
      </c>
      <c r="B60" t="s">
        <v>188</v>
      </c>
      <c r="C60" t="s">
        <v>134</v>
      </c>
      <c r="D60" t="s">
        <v>135</v>
      </c>
      <c r="E60" t="s">
        <v>48</v>
      </c>
    </row>
    <row r="61" spans="1:5" x14ac:dyDescent="0.35">
      <c r="A61" t="s">
        <v>218</v>
      </c>
      <c r="B61" t="s">
        <v>219</v>
      </c>
      <c r="C61" t="s">
        <v>220</v>
      </c>
      <c r="D61" t="s">
        <v>221</v>
      </c>
      <c r="E61" t="s">
        <v>48</v>
      </c>
    </row>
    <row r="62" spans="1:5" x14ac:dyDescent="0.35">
      <c r="A62" t="s">
        <v>218</v>
      </c>
      <c r="B62" t="s">
        <v>219</v>
      </c>
      <c r="C62" t="s">
        <v>186</v>
      </c>
      <c r="D62" t="s">
        <v>222</v>
      </c>
      <c r="E62" t="s">
        <v>48</v>
      </c>
    </row>
    <row r="63" spans="1:5" x14ac:dyDescent="0.35">
      <c r="A63" t="s">
        <v>223</v>
      </c>
      <c r="B63" t="s">
        <v>224</v>
      </c>
      <c r="C63" t="s">
        <v>225</v>
      </c>
      <c r="D63" t="s">
        <v>226</v>
      </c>
      <c r="E63" t="s">
        <v>48</v>
      </c>
    </row>
    <row r="64" spans="1:5" x14ac:dyDescent="0.35">
      <c r="A64" t="s">
        <v>227</v>
      </c>
      <c r="B64" t="s">
        <v>228</v>
      </c>
      <c r="C64" t="s">
        <v>170</v>
      </c>
      <c r="D64" t="s">
        <v>171</v>
      </c>
      <c r="E64" t="s">
        <v>48</v>
      </c>
    </row>
    <row r="65" spans="1:5" x14ac:dyDescent="0.35">
      <c r="A65" t="s">
        <v>229</v>
      </c>
      <c r="B65" t="s">
        <v>230</v>
      </c>
      <c r="C65" t="s">
        <v>231</v>
      </c>
      <c r="D65" t="s">
        <v>232</v>
      </c>
      <c r="E65" t="s">
        <v>48</v>
      </c>
    </row>
    <row r="66" spans="1:5" x14ac:dyDescent="0.35">
      <c r="A66" t="s">
        <v>233</v>
      </c>
      <c r="B66" t="s">
        <v>234</v>
      </c>
      <c r="C66" t="s">
        <v>235</v>
      </c>
      <c r="D66" t="s">
        <v>236</v>
      </c>
      <c r="E66" t="s">
        <v>48</v>
      </c>
    </row>
    <row r="67" spans="1:5" x14ac:dyDescent="0.35">
      <c r="A67" t="s">
        <v>237</v>
      </c>
      <c r="B67" t="s">
        <v>238</v>
      </c>
      <c r="C67" t="s">
        <v>174</v>
      </c>
      <c r="D67" t="s">
        <v>239</v>
      </c>
      <c r="E67" t="s">
        <v>48</v>
      </c>
    </row>
    <row r="68" spans="1:5" x14ac:dyDescent="0.35">
      <c r="A68" t="s">
        <v>240</v>
      </c>
      <c r="B68" t="s">
        <v>241</v>
      </c>
      <c r="C68" t="s">
        <v>242</v>
      </c>
      <c r="D68" t="s">
        <v>243</v>
      </c>
      <c r="E68" t="s">
        <v>48</v>
      </c>
    </row>
    <row r="69" spans="1:5" x14ac:dyDescent="0.35">
      <c r="A69" t="s">
        <v>244</v>
      </c>
      <c r="B69" t="s">
        <v>245</v>
      </c>
      <c r="C69" t="s">
        <v>246</v>
      </c>
      <c r="D69" t="s">
        <v>247</v>
      </c>
      <c r="E6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76"/>
  <sheetViews>
    <sheetView workbookViewId="0">
      <pane xSplit="2" ySplit="4" topLeftCell="T5" activePane="bottomRight" state="frozen"/>
      <selection pane="topRight"/>
      <selection pane="bottomLeft"/>
      <selection pane="bottomRight" activeCell="X76" sqref="X76"/>
    </sheetView>
  </sheetViews>
  <sheetFormatPr baseColWidth="10" defaultColWidth="8.81640625" defaultRowHeight="14.5" x14ac:dyDescent="0.35"/>
  <cols>
    <col min="1" max="1" width="34.453125" bestFit="1" customWidth="1"/>
    <col min="2" max="2" width="72.1796875" bestFit="1" customWidth="1"/>
    <col min="3" max="49" width="13" customWidth="1"/>
  </cols>
  <sheetData>
    <row r="1" spans="1:49" x14ac:dyDescent="0.35">
      <c r="A1" s="1" t="s">
        <v>136</v>
      </c>
    </row>
    <row r="2" spans="1:49" x14ac:dyDescent="0.35">
      <c r="A2" s="2" t="s">
        <v>0</v>
      </c>
    </row>
    <row r="4" spans="1:49" ht="12.75" customHeight="1" x14ac:dyDescent="0.35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3" t="s">
        <v>38</v>
      </c>
      <c r="AO4" s="3" t="s">
        <v>39</v>
      </c>
      <c r="AP4" s="3" t="s">
        <v>40</v>
      </c>
      <c r="AQ4" s="3" t="s">
        <v>41</v>
      </c>
      <c r="AR4" s="3" t="s">
        <v>42</v>
      </c>
      <c r="AS4" s="3" t="s">
        <v>43</v>
      </c>
      <c r="AT4" s="3" t="s">
        <v>44</v>
      </c>
      <c r="AU4" s="3" t="s">
        <v>45</v>
      </c>
      <c r="AV4" s="3" t="s">
        <v>46</v>
      </c>
      <c r="AW4" s="3" t="s">
        <v>47</v>
      </c>
    </row>
    <row r="5" spans="1:49" x14ac:dyDescent="0.35">
      <c r="B5" s="2" t="s">
        <v>48</v>
      </c>
    </row>
    <row r="6" spans="1:49" x14ac:dyDescent="0.35">
      <c r="A6" s="3" t="s">
        <v>49</v>
      </c>
      <c r="B6" s="3" t="s">
        <v>50</v>
      </c>
      <c r="C6" s="4">
        <v>778.64099999999996</v>
      </c>
      <c r="D6" s="4">
        <v>899.90899999999999</v>
      </c>
      <c r="E6" s="4">
        <v>1026.0509999999999</v>
      </c>
      <c r="F6" s="4">
        <v>1154.598</v>
      </c>
      <c r="G6" s="4">
        <v>1274.5340000000001</v>
      </c>
      <c r="H6" s="4">
        <v>1399.2429999999999</v>
      </c>
      <c r="I6" s="4">
        <v>1466.7280000000001</v>
      </c>
      <c r="J6" s="4">
        <v>1532.327</v>
      </c>
      <c r="K6" s="4">
        <v>1620.7719999999999</v>
      </c>
      <c r="L6" s="4">
        <v>1716.4739999999999</v>
      </c>
      <c r="M6" s="4">
        <v>1848.2380000000001</v>
      </c>
      <c r="N6" s="4">
        <v>2005.5840000000001</v>
      </c>
      <c r="O6" s="4">
        <v>2145.7730000000001</v>
      </c>
      <c r="P6" s="4">
        <v>2171.116</v>
      </c>
      <c r="Q6" s="4">
        <v>2139.5</v>
      </c>
      <c r="R6" s="4">
        <v>2133.511</v>
      </c>
      <c r="S6" s="4">
        <v>2186.8589999999999</v>
      </c>
      <c r="T6" s="4">
        <v>2181.8690000000001</v>
      </c>
      <c r="U6" s="4">
        <v>2230.6849999999999</v>
      </c>
      <c r="V6" s="4">
        <v>2270.9989999999998</v>
      </c>
      <c r="W6" s="4">
        <v>2400.3989999999999</v>
      </c>
      <c r="X6" s="4">
        <v>2655.34</v>
      </c>
      <c r="Y6" s="4">
        <v>2929.6439999999998</v>
      </c>
      <c r="Z6" s="4">
        <v>3215.616</v>
      </c>
      <c r="AA6" s="4">
        <v>3623.73</v>
      </c>
      <c r="AB6" s="4">
        <v>4170.7749999999996</v>
      </c>
      <c r="AC6" s="4">
        <v>4897.7740000000003</v>
      </c>
      <c r="AD6" s="4">
        <v>5700.7579999999998</v>
      </c>
      <c r="AE6" s="4">
        <v>6328.2830000000004</v>
      </c>
      <c r="AF6" s="4">
        <v>6769.2259999999997</v>
      </c>
      <c r="AG6" s="4">
        <v>6489.0519999999997</v>
      </c>
      <c r="AH6" s="4">
        <v>6445.14</v>
      </c>
      <c r="AI6" s="4">
        <v>7012.8990000000003</v>
      </c>
      <c r="AJ6" s="4">
        <v>7286.2889999999998</v>
      </c>
      <c r="AK6" s="4">
        <v>7230.8860000000004</v>
      </c>
      <c r="AL6" s="4">
        <v>7185.6589999999997</v>
      </c>
      <c r="AM6" s="4">
        <v>7106.3609999999999</v>
      </c>
      <c r="AN6" s="4">
        <v>7167.7110000000002</v>
      </c>
      <c r="AO6" s="4">
        <v>7396.9740000000002</v>
      </c>
      <c r="AP6" s="4">
        <v>7725.384</v>
      </c>
      <c r="AQ6" s="4">
        <v>8059.674</v>
      </c>
      <c r="AR6" s="4">
        <v>8475.8169999999991</v>
      </c>
      <c r="AS6" s="4">
        <v>9028.0409999999993</v>
      </c>
      <c r="AT6" s="4">
        <v>9736.3379999999997</v>
      </c>
      <c r="AU6" s="4">
        <v>10235.022999999999</v>
      </c>
      <c r="AV6" s="4">
        <v>9931.491</v>
      </c>
      <c r="AW6" s="4">
        <v>9867.7780000000002</v>
      </c>
    </row>
    <row r="7" spans="1:49" x14ac:dyDescent="0.35">
      <c r="A7" s="3" t="s">
        <v>51</v>
      </c>
      <c r="B7" s="3" t="s">
        <v>52</v>
      </c>
      <c r="C7" s="4">
        <v>486.39299999999997</v>
      </c>
      <c r="D7" s="4">
        <v>571.78300000000002</v>
      </c>
      <c r="E7" s="4">
        <v>664.52800000000002</v>
      </c>
      <c r="F7" s="4">
        <v>757.72400000000005</v>
      </c>
      <c r="G7" s="4">
        <v>860.37099999999998</v>
      </c>
      <c r="H7" s="4">
        <v>953.44500000000005</v>
      </c>
      <c r="I7" s="4">
        <v>1021.148</v>
      </c>
      <c r="J7" s="4">
        <v>1073.8689999999999</v>
      </c>
      <c r="K7" s="4">
        <v>1133.5160000000001</v>
      </c>
      <c r="L7" s="4">
        <v>1202.4449999999999</v>
      </c>
      <c r="M7" s="4">
        <v>1271.2349999999999</v>
      </c>
      <c r="N7" s="4">
        <v>1342.6859999999999</v>
      </c>
      <c r="O7" s="4">
        <v>1422.5609999999999</v>
      </c>
      <c r="P7" s="4">
        <v>1484.298</v>
      </c>
      <c r="Q7" s="4">
        <v>1523.9480000000001</v>
      </c>
      <c r="R7" s="4">
        <v>1560.8130000000001</v>
      </c>
      <c r="S7" s="4">
        <v>1597.4780000000001</v>
      </c>
      <c r="T7" s="4">
        <v>1646.0909999999999</v>
      </c>
      <c r="U7" s="4">
        <v>1704.501</v>
      </c>
      <c r="V7" s="4">
        <v>1757.932</v>
      </c>
      <c r="W7" s="4">
        <v>1807.3789999999999</v>
      </c>
      <c r="X7" s="4">
        <v>1871.1669999999999</v>
      </c>
      <c r="Y7" s="4">
        <v>1959.6010000000001</v>
      </c>
      <c r="Z7" s="4">
        <v>2069.7310000000002</v>
      </c>
      <c r="AA7" s="4">
        <v>2176.625</v>
      </c>
      <c r="AB7" s="4">
        <v>2299.6680000000001</v>
      </c>
      <c r="AC7" s="4">
        <v>2450.7190000000001</v>
      </c>
      <c r="AD7" s="4">
        <v>2611.2049999999999</v>
      </c>
      <c r="AE7" s="4">
        <v>2781.78</v>
      </c>
      <c r="AF7" s="4">
        <v>2959.98</v>
      </c>
      <c r="AG7" s="4">
        <v>3083.6460000000002</v>
      </c>
      <c r="AH7" s="4">
        <v>3166.0079999999998</v>
      </c>
      <c r="AI7" s="4">
        <v>3301.3809999999999</v>
      </c>
      <c r="AJ7" s="4">
        <v>3425.5529999999999</v>
      </c>
      <c r="AK7" s="4">
        <v>3501.6759999999999</v>
      </c>
      <c r="AL7" s="4">
        <v>3580.683</v>
      </c>
      <c r="AM7" s="4">
        <v>3653.2910000000002</v>
      </c>
      <c r="AN7" s="4">
        <v>3697.152</v>
      </c>
      <c r="AO7" s="4">
        <v>3784.357</v>
      </c>
      <c r="AP7" s="4">
        <v>3910.3319999999999</v>
      </c>
      <c r="AQ7" s="4">
        <v>4035.3519999999999</v>
      </c>
      <c r="AR7" s="4">
        <v>4146.4769999999999</v>
      </c>
      <c r="AS7" s="4">
        <v>4313.5720000000001</v>
      </c>
      <c r="AT7" s="4">
        <v>4701.5450000000001</v>
      </c>
      <c r="AU7" s="4">
        <v>5067.1260000000002</v>
      </c>
      <c r="AV7" s="4">
        <v>5206.0649999999996</v>
      </c>
      <c r="AW7" s="4">
        <v>5261.817</v>
      </c>
    </row>
    <row r="8" spans="1:49" x14ac:dyDescent="0.35">
      <c r="A8" s="3" t="s">
        <v>53</v>
      </c>
      <c r="B8" s="3" t="s">
        <v>54</v>
      </c>
      <c r="C8" s="4">
        <v>434.72899999999998</v>
      </c>
      <c r="D8" s="4">
        <v>512.62599999999998</v>
      </c>
      <c r="E8" s="4">
        <v>601.19100000000003</v>
      </c>
      <c r="F8" s="4">
        <v>695.42399999999998</v>
      </c>
      <c r="G8" s="4">
        <v>791.81500000000005</v>
      </c>
      <c r="H8" s="4">
        <v>873.774</v>
      </c>
      <c r="I8" s="4">
        <v>943.83399999999995</v>
      </c>
      <c r="J8" s="4">
        <v>1002.048</v>
      </c>
      <c r="K8" s="4">
        <v>1062.048</v>
      </c>
      <c r="L8" s="4">
        <v>1129.432</v>
      </c>
      <c r="M8" s="4">
        <v>1200.655</v>
      </c>
      <c r="N8" s="4">
        <v>1276.883</v>
      </c>
      <c r="O8" s="4">
        <v>1360.6559999999999</v>
      </c>
      <c r="P8" s="4">
        <v>1425.182</v>
      </c>
      <c r="Q8" s="4">
        <v>1466.453</v>
      </c>
      <c r="R8" s="4">
        <v>1502.232</v>
      </c>
      <c r="S8" s="4">
        <v>1539.694</v>
      </c>
      <c r="T8" s="4">
        <v>1587.6079999999999</v>
      </c>
      <c r="U8" s="4">
        <v>1645.2860000000001</v>
      </c>
      <c r="V8" s="4">
        <v>1700.239</v>
      </c>
      <c r="W8" s="4">
        <v>1748.0239999999999</v>
      </c>
      <c r="X8" s="4">
        <v>1803.4670000000001</v>
      </c>
      <c r="Y8" s="4">
        <v>1882.4</v>
      </c>
      <c r="Z8" s="4">
        <v>1978.018</v>
      </c>
      <c r="AA8" s="4">
        <v>2076.4250000000002</v>
      </c>
      <c r="AB8" s="4">
        <v>2198.9299999999998</v>
      </c>
      <c r="AC8" s="4">
        <v>2342.2620000000002</v>
      </c>
      <c r="AD8" s="4">
        <v>2487.58</v>
      </c>
      <c r="AE8" s="4">
        <v>2646.3069999999998</v>
      </c>
      <c r="AF8" s="4">
        <v>2823.9679999999998</v>
      </c>
      <c r="AG8" s="4">
        <v>2957.8040000000001</v>
      </c>
      <c r="AH8" s="4">
        <v>3038.2310000000002</v>
      </c>
      <c r="AI8" s="4">
        <v>3153.9189999999999</v>
      </c>
      <c r="AJ8" s="4">
        <v>3273.221</v>
      </c>
      <c r="AK8" s="4">
        <v>3354.002</v>
      </c>
      <c r="AL8" s="4">
        <v>3434.5129999999999</v>
      </c>
      <c r="AM8" s="4">
        <v>3504.7719999999999</v>
      </c>
      <c r="AN8" s="4">
        <v>3550.4209999999998</v>
      </c>
      <c r="AO8" s="4">
        <v>3636.0540000000001</v>
      </c>
      <c r="AP8" s="4">
        <v>3753.9140000000002</v>
      </c>
      <c r="AQ8" s="4">
        <v>3878.1060000000002</v>
      </c>
      <c r="AR8" s="4">
        <v>3991.6750000000002</v>
      </c>
      <c r="AS8" s="4">
        <v>4148.38</v>
      </c>
      <c r="AT8" s="4">
        <v>4500.558</v>
      </c>
      <c r="AU8" s="4">
        <v>4843.2420000000002</v>
      </c>
      <c r="AV8" s="4">
        <v>4986.7250000000004</v>
      </c>
      <c r="AW8" s="4">
        <v>5042.6030000000001</v>
      </c>
    </row>
    <row r="9" spans="1:49" x14ac:dyDescent="0.35">
      <c r="A9" s="3" t="s">
        <v>55</v>
      </c>
      <c r="B9" s="3" t="s">
        <v>56</v>
      </c>
      <c r="C9" s="4">
        <v>411.214</v>
      </c>
      <c r="D9" s="4">
        <v>486.37799999999999</v>
      </c>
      <c r="E9" s="4">
        <v>571.11400000000003</v>
      </c>
      <c r="F9" s="4">
        <v>661.15200000000004</v>
      </c>
      <c r="G9" s="4">
        <v>752.76199999999994</v>
      </c>
      <c r="H9" s="4">
        <v>832.51099999999997</v>
      </c>
      <c r="I9" s="4">
        <v>900.94600000000003</v>
      </c>
      <c r="J9" s="4">
        <v>957.79100000000005</v>
      </c>
      <c r="K9" s="4">
        <v>1017.179</v>
      </c>
      <c r="L9" s="4">
        <v>1083.6369999999999</v>
      </c>
      <c r="M9" s="4">
        <v>1151.866</v>
      </c>
      <c r="N9" s="4">
        <v>1225.126</v>
      </c>
      <c r="O9" s="4">
        <v>1307.5519999999999</v>
      </c>
      <c r="P9" s="4">
        <v>1372.6369999999999</v>
      </c>
      <c r="Q9" s="4">
        <v>1415.6469999999999</v>
      </c>
      <c r="R9" s="4">
        <v>1453.348</v>
      </c>
      <c r="S9" s="4">
        <v>1491.4949999999999</v>
      </c>
      <c r="T9" s="4">
        <v>1540.829</v>
      </c>
      <c r="U9" s="4">
        <v>1599.979</v>
      </c>
      <c r="V9" s="4">
        <v>1655.4390000000001</v>
      </c>
      <c r="W9" s="4">
        <v>1703.537</v>
      </c>
      <c r="X9" s="4">
        <v>1759.329</v>
      </c>
      <c r="Y9" s="4">
        <v>1837.827</v>
      </c>
      <c r="Z9" s="4">
        <v>1933.9</v>
      </c>
      <c r="AA9" s="4">
        <v>2032.8610000000001</v>
      </c>
      <c r="AB9" s="4">
        <v>2155.5410000000002</v>
      </c>
      <c r="AC9" s="4">
        <v>2299.1610000000001</v>
      </c>
      <c r="AD9" s="4">
        <v>2444.8049999999998</v>
      </c>
      <c r="AE9" s="4">
        <v>2604.0250000000001</v>
      </c>
      <c r="AF9" s="4">
        <v>2781.7370000000001</v>
      </c>
      <c r="AG9" s="4">
        <v>2916.4389999999999</v>
      </c>
      <c r="AH9" s="4">
        <v>2997.7040000000002</v>
      </c>
      <c r="AI9" s="4">
        <v>3114.7170000000001</v>
      </c>
      <c r="AJ9" s="4">
        <v>3234.3209999999999</v>
      </c>
      <c r="AK9" s="4">
        <v>3315.1849999999999</v>
      </c>
      <c r="AL9" s="4">
        <v>3396.0720000000001</v>
      </c>
      <c r="AM9" s="4">
        <v>3467.2570000000001</v>
      </c>
      <c r="AN9" s="4">
        <v>3513.96</v>
      </c>
      <c r="AO9" s="4">
        <v>3600.3139999999999</v>
      </c>
      <c r="AP9" s="4">
        <v>3718.1840000000002</v>
      </c>
      <c r="AQ9" s="4">
        <v>3842.0549999999998</v>
      </c>
      <c r="AR9" s="4">
        <v>3954.5770000000002</v>
      </c>
      <c r="AS9" s="4">
        <v>4110.54</v>
      </c>
      <c r="AT9" s="4">
        <v>4461.2749999999996</v>
      </c>
      <c r="AU9" s="4">
        <v>4802.2039999999997</v>
      </c>
      <c r="AV9" s="4">
        <v>4945.1310000000003</v>
      </c>
      <c r="AW9" s="4">
        <v>5001.1490000000003</v>
      </c>
    </row>
    <row r="10" spans="1:49" x14ac:dyDescent="0.35">
      <c r="A10" s="3" t="s">
        <v>57</v>
      </c>
      <c r="B10" s="3" t="s">
        <v>58</v>
      </c>
      <c r="C10" s="4">
        <v>366.87299999999999</v>
      </c>
      <c r="D10" s="4">
        <v>434.79599999999999</v>
      </c>
      <c r="E10" s="4">
        <v>511.39800000000002</v>
      </c>
      <c r="F10" s="4">
        <v>593.57899999999995</v>
      </c>
      <c r="G10" s="4">
        <v>677.92399999999998</v>
      </c>
      <c r="H10" s="4">
        <v>752.32299999999998</v>
      </c>
      <c r="I10" s="4">
        <v>817.12099999999998</v>
      </c>
      <c r="J10" s="4">
        <v>871.81100000000004</v>
      </c>
      <c r="K10" s="4">
        <v>928.45100000000002</v>
      </c>
      <c r="L10" s="4">
        <v>991.13599999999997</v>
      </c>
      <c r="M10" s="4">
        <v>1055.23</v>
      </c>
      <c r="N10" s="4">
        <v>1124.8820000000001</v>
      </c>
      <c r="O10" s="4">
        <v>1205.24</v>
      </c>
      <c r="P10" s="4">
        <v>1270.27</v>
      </c>
      <c r="Q10" s="4">
        <v>1314.5129999999999</v>
      </c>
      <c r="R10" s="4">
        <v>1352.529</v>
      </c>
      <c r="S10" s="4">
        <v>1389.9480000000001</v>
      </c>
      <c r="T10" s="4">
        <v>1438.6189999999999</v>
      </c>
      <c r="U10" s="4">
        <v>1496.424</v>
      </c>
      <c r="V10" s="4">
        <v>1549.9</v>
      </c>
      <c r="W10" s="4">
        <v>1595.614</v>
      </c>
      <c r="X10" s="4">
        <v>1647.4970000000001</v>
      </c>
      <c r="Y10" s="4">
        <v>1723.53</v>
      </c>
      <c r="Z10" s="4">
        <v>1818.4</v>
      </c>
      <c r="AA10" s="4">
        <v>1914.7470000000001</v>
      </c>
      <c r="AB10" s="4">
        <v>2034.21</v>
      </c>
      <c r="AC10" s="4">
        <v>2174.8150000000001</v>
      </c>
      <c r="AD10" s="4">
        <v>2317.1590000000001</v>
      </c>
      <c r="AE10" s="4">
        <v>2472.5889999999999</v>
      </c>
      <c r="AF10" s="4">
        <v>2644.971</v>
      </c>
      <c r="AG10" s="4">
        <v>2776.2539999999999</v>
      </c>
      <c r="AH10" s="4">
        <v>2855.3339999999998</v>
      </c>
      <c r="AI10" s="4">
        <v>2967.1869999999999</v>
      </c>
      <c r="AJ10" s="4">
        <v>3082.9740000000002</v>
      </c>
      <c r="AK10" s="4">
        <v>3163.058</v>
      </c>
      <c r="AL10" s="4">
        <v>3245.2539999999999</v>
      </c>
      <c r="AM10" s="4">
        <v>3319.9</v>
      </c>
      <c r="AN10" s="4">
        <v>3369.6039999999998</v>
      </c>
      <c r="AO10" s="4">
        <v>3454.529</v>
      </c>
      <c r="AP10" s="4">
        <v>3568.328</v>
      </c>
      <c r="AQ10" s="4">
        <v>3687.8580000000002</v>
      </c>
      <c r="AR10" s="4">
        <v>3797.3449999999998</v>
      </c>
      <c r="AS10" s="4">
        <v>3948.0810000000001</v>
      </c>
      <c r="AT10" s="4">
        <v>4284.8320000000003</v>
      </c>
      <c r="AU10" s="4">
        <v>4613.4480000000003</v>
      </c>
      <c r="AV10" s="4">
        <v>4752.6869999999999</v>
      </c>
      <c r="AW10" s="4">
        <v>4807.4110000000001</v>
      </c>
    </row>
    <row r="11" spans="1:49" x14ac:dyDescent="0.35">
      <c r="A11" s="3" t="s">
        <v>59</v>
      </c>
      <c r="B11" s="3" t="s">
        <v>60</v>
      </c>
      <c r="C11" s="4">
        <v>44.341000000000001</v>
      </c>
      <c r="D11" s="4">
        <v>51.582000000000001</v>
      </c>
      <c r="E11" s="4">
        <v>59.716000000000001</v>
      </c>
      <c r="F11" s="4">
        <v>67.572000000000003</v>
      </c>
      <c r="G11" s="4">
        <v>74.838999999999999</v>
      </c>
      <c r="H11" s="4">
        <v>80.188000000000002</v>
      </c>
      <c r="I11" s="4">
        <v>83.825000000000003</v>
      </c>
      <c r="J11" s="4">
        <v>85.98</v>
      </c>
      <c r="K11" s="4">
        <v>88.727999999999994</v>
      </c>
      <c r="L11" s="4">
        <v>92.501000000000005</v>
      </c>
      <c r="M11" s="4">
        <v>96.635999999999996</v>
      </c>
      <c r="N11" s="4">
        <v>100.244</v>
      </c>
      <c r="O11" s="4">
        <v>102.313</v>
      </c>
      <c r="P11" s="4">
        <v>102.36799999999999</v>
      </c>
      <c r="Q11" s="4">
        <v>101.133</v>
      </c>
      <c r="R11" s="4">
        <v>100.819</v>
      </c>
      <c r="S11" s="4">
        <v>101.54600000000001</v>
      </c>
      <c r="T11" s="4">
        <v>102.21</v>
      </c>
      <c r="U11" s="4">
        <v>103.55500000000001</v>
      </c>
      <c r="V11" s="4">
        <v>105.539</v>
      </c>
      <c r="W11" s="4">
        <v>107.922</v>
      </c>
      <c r="X11" s="4">
        <v>111.83199999999999</v>
      </c>
      <c r="Y11" s="4">
        <v>114.298</v>
      </c>
      <c r="Z11" s="4">
        <v>115.499</v>
      </c>
      <c r="AA11" s="4">
        <v>118.113</v>
      </c>
      <c r="AB11" s="4">
        <v>121.331</v>
      </c>
      <c r="AC11" s="4">
        <v>124.34699999999999</v>
      </c>
      <c r="AD11" s="4">
        <v>127.646</v>
      </c>
      <c r="AE11" s="4">
        <v>131.435</v>
      </c>
      <c r="AF11" s="4">
        <v>136.76599999999999</v>
      </c>
      <c r="AG11" s="4">
        <v>140.184</v>
      </c>
      <c r="AH11" s="4">
        <v>142.37</v>
      </c>
      <c r="AI11" s="4">
        <v>147.53</v>
      </c>
      <c r="AJ11" s="4">
        <v>151.34700000000001</v>
      </c>
      <c r="AK11" s="4">
        <v>152.12700000000001</v>
      </c>
      <c r="AL11" s="4">
        <v>150.81800000000001</v>
      </c>
      <c r="AM11" s="4">
        <v>147.357</v>
      </c>
      <c r="AN11" s="4">
        <v>144.35599999999999</v>
      </c>
      <c r="AO11" s="4">
        <v>145.785</v>
      </c>
      <c r="AP11" s="4">
        <v>149.85599999999999</v>
      </c>
      <c r="AQ11" s="4">
        <v>154.197</v>
      </c>
      <c r="AR11" s="4">
        <v>157.232</v>
      </c>
      <c r="AS11" s="4">
        <v>162.459</v>
      </c>
      <c r="AT11" s="4">
        <v>176.44399999999999</v>
      </c>
      <c r="AU11" s="4">
        <v>188.756</v>
      </c>
      <c r="AV11" s="4">
        <v>192.44399999999999</v>
      </c>
      <c r="AW11" s="4">
        <v>193.738</v>
      </c>
    </row>
    <row r="12" spans="1:49" x14ac:dyDescent="0.35">
      <c r="A12" s="3" t="s">
        <v>61</v>
      </c>
      <c r="B12" s="3" t="s">
        <v>62</v>
      </c>
      <c r="C12" s="4">
        <v>20.119</v>
      </c>
      <c r="D12" s="4">
        <v>22.581</v>
      </c>
      <c r="E12" s="4">
        <v>25.414999999999999</v>
      </c>
      <c r="F12" s="4">
        <v>28.102</v>
      </c>
      <c r="G12" s="4">
        <v>30.457999999999998</v>
      </c>
      <c r="H12" s="4">
        <v>32.085999999999999</v>
      </c>
      <c r="I12" s="4">
        <v>33.222999999999999</v>
      </c>
      <c r="J12" s="4">
        <v>33.503999999999998</v>
      </c>
      <c r="K12" s="4">
        <v>33.728999999999999</v>
      </c>
      <c r="L12" s="4">
        <v>34.274000000000001</v>
      </c>
      <c r="M12" s="4">
        <v>34.752000000000002</v>
      </c>
      <c r="N12" s="4">
        <v>35.317999999999998</v>
      </c>
      <c r="O12" s="4">
        <v>35.758000000000003</v>
      </c>
      <c r="P12" s="4">
        <v>35.838000000000001</v>
      </c>
      <c r="Q12" s="4">
        <v>35.481999999999999</v>
      </c>
      <c r="R12" s="4">
        <v>34.863</v>
      </c>
      <c r="S12" s="4">
        <v>34.274999999999999</v>
      </c>
      <c r="T12" s="4">
        <v>33.795999999999999</v>
      </c>
      <c r="U12" s="4">
        <v>33.331000000000003</v>
      </c>
      <c r="V12" s="4">
        <v>33.195</v>
      </c>
      <c r="W12" s="4">
        <v>33.198999999999998</v>
      </c>
      <c r="X12" s="4">
        <v>34.054000000000002</v>
      </c>
      <c r="Y12" s="4">
        <v>34.927999999999997</v>
      </c>
      <c r="Z12" s="4">
        <v>35.124000000000002</v>
      </c>
      <c r="AA12" s="4">
        <v>35.209000000000003</v>
      </c>
      <c r="AB12" s="4">
        <v>35.499000000000002</v>
      </c>
      <c r="AC12" s="4">
        <v>35.845999999999997</v>
      </c>
      <c r="AD12" s="4">
        <v>36.052999999999997</v>
      </c>
      <c r="AE12" s="4">
        <v>36.319000000000003</v>
      </c>
      <c r="AF12" s="4">
        <v>37.015999999999998</v>
      </c>
      <c r="AG12" s="4">
        <v>37.628999999999998</v>
      </c>
      <c r="AH12" s="4">
        <v>37.223999999999997</v>
      </c>
      <c r="AI12" s="4">
        <v>37</v>
      </c>
      <c r="AJ12" s="4">
        <v>36.984999999999999</v>
      </c>
      <c r="AK12" s="4">
        <v>36.537999999999997</v>
      </c>
      <c r="AL12" s="4">
        <v>35.82</v>
      </c>
      <c r="AM12" s="4">
        <v>35.18</v>
      </c>
      <c r="AN12" s="4">
        <v>34.784999999999997</v>
      </c>
      <c r="AO12" s="4">
        <v>35.088999999999999</v>
      </c>
      <c r="AP12" s="4">
        <v>35.828000000000003</v>
      </c>
      <c r="AQ12" s="4">
        <v>37.011000000000003</v>
      </c>
      <c r="AR12" s="4">
        <v>38.332000000000001</v>
      </c>
      <c r="AS12" s="4">
        <v>40.212000000000003</v>
      </c>
      <c r="AT12" s="4">
        <v>43.231999999999999</v>
      </c>
      <c r="AU12" s="4">
        <v>45.594999999999999</v>
      </c>
      <c r="AV12" s="4">
        <v>46.161999999999999</v>
      </c>
      <c r="AW12" s="4">
        <v>45.917000000000002</v>
      </c>
    </row>
    <row r="13" spans="1:49" x14ac:dyDescent="0.35">
      <c r="A13" s="3" t="s">
        <v>63</v>
      </c>
      <c r="B13" s="3" t="s">
        <v>64</v>
      </c>
      <c r="C13" s="4">
        <v>24.222999999999999</v>
      </c>
      <c r="D13" s="4">
        <v>29.001000000000001</v>
      </c>
      <c r="E13" s="4">
        <v>34.301000000000002</v>
      </c>
      <c r="F13" s="4">
        <v>39.470999999999997</v>
      </c>
      <c r="G13" s="4">
        <v>44.381</v>
      </c>
      <c r="H13" s="4">
        <v>48.103000000000002</v>
      </c>
      <c r="I13" s="4">
        <v>50.603000000000002</v>
      </c>
      <c r="J13" s="4">
        <v>52.475999999999999</v>
      </c>
      <c r="K13" s="4">
        <v>54.999000000000002</v>
      </c>
      <c r="L13" s="4">
        <v>58.226999999999997</v>
      </c>
      <c r="M13" s="4">
        <v>61.884999999999998</v>
      </c>
      <c r="N13" s="4">
        <v>64.926000000000002</v>
      </c>
      <c r="O13" s="4">
        <v>66.555000000000007</v>
      </c>
      <c r="P13" s="4">
        <v>66.528999999999996</v>
      </c>
      <c r="Q13" s="4">
        <v>65.650999999999996</v>
      </c>
      <c r="R13" s="4">
        <v>65.956000000000003</v>
      </c>
      <c r="S13" s="4">
        <v>67.271000000000001</v>
      </c>
      <c r="T13" s="4">
        <v>68.414000000000001</v>
      </c>
      <c r="U13" s="4">
        <v>70.224000000000004</v>
      </c>
      <c r="V13" s="4">
        <v>72.343999999999994</v>
      </c>
      <c r="W13" s="4">
        <v>74.722999999999999</v>
      </c>
      <c r="X13" s="4">
        <v>77.778000000000006</v>
      </c>
      <c r="Y13" s="4">
        <v>79.37</v>
      </c>
      <c r="Z13" s="4">
        <v>80.376000000000005</v>
      </c>
      <c r="AA13" s="4">
        <v>82.903999999999996</v>
      </c>
      <c r="AB13" s="4">
        <v>85.831999999999994</v>
      </c>
      <c r="AC13" s="4">
        <v>88.5</v>
      </c>
      <c r="AD13" s="4">
        <v>91.593000000000004</v>
      </c>
      <c r="AE13" s="4">
        <v>95.116</v>
      </c>
      <c r="AF13" s="4">
        <v>99.748999999999995</v>
      </c>
      <c r="AG13" s="4">
        <v>102.55500000000001</v>
      </c>
      <c r="AH13" s="4">
        <v>105.146</v>
      </c>
      <c r="AI13" s="4">
        <v>110.53</v>
      </c>
      <c r="AJ13" s="4">
        <v>114.36199999999999</v>
      </c>
      <c r="AK13" s="4">
        <v>115.59</v>
      </c>
      <c r="AL13" s="4">
        <v>114.997</v>
      </c>
      <c r="AM13" s="4">
        <v>112.17700000000001</v>
      </c>
      <c r="AN13" s="4">
        <v>109.571</v>
      </c>
      <c r="AO13" s="4">
        <v>110.697</v>
      </c>
      <c r="AP13" s="4">
        <v>114.027</v>
      </c>
      <c r="AQ13" s="4">
        <v>117.18600000000001</v>
      </c>
      <c r="AR13" s="4">
        <v>118.901</v>
      </c>
      <c r="AS13" s="4">
        <v>122.246</v>
      </c>
      <c r="AT13" s="4">
        <v>133.21199999999999</v>
      </c>
      <c r="AU13" s="4">
        <v>143.161</v>
      </c>
      <c r="AV13" s="4">
        <v>146.28100000000001</v>
      </c>
      <c r="AW13" s="4">
        <v>147.821</v>
      </c>
    </row>
    <row r="14" spans="1:49" x14ac:dyDescent="0.35">
      <c r="A14" s="3" t="s">
        <v>65</v>
      </c>
      <c r="B14" s="3" t="s">
        <v>66</v>
      </c>
      <c r="C14" s="4">
        <v>12.78</v>
      </c>
      <c r="D14" s="4">
        <v>14.78</v>
      </c>
      <c r="E14" s="4">
        <v>17.515000000000001</v>
      </c>
      <c r="F14" s="4">
        <v>20.475999999999999</v>
      </c>
      <c r="G14" s="4">
        <v>22.931999999999999</v>
      </c>
      <c r="H14" s="4">
        <v>24.353000000000002</v>
      </c>
      <c r="I14" s="4">
        <v>25.495999999999999</v>
      </c>
      <c r="J14" s="4">
        <v>26.402000000000001</v>
      </c>
      <c r="K14" s="4">
        <v>27.388000000000002</v>
      </c>
      <c r="L14" s="4">
        <v>28.462</v>
      </c>
      <c r="M14" s="4">
        <v>29.861999999999998</v>
      </c>
      <c r="N14" s="4">
        <v>31.748999999999999</v>
      </c>
      <c r="O14" s="4">
        <v>33.347000000000001</v>
      </c>
      <c r="P14" s="4">
        <v>33.692999999999998</v>
      </c>
      <c r="Q14" s="4">
        <v>32.600999999999999</v>
      </c>
      <c r="R14" s="4">
        <v>31.396000000000001</v>
      </c>
      <c r="S14" s="4">
        <v>30.981999999999999</v>
      </c>
      <c r="T14" s="4">
        <v>30.981999999999999</v>
      </c>
      <c r="U14" s="4">
        <v>30.786000000000001</v>
      </c>
      <c r="V14" s="4">
        <v>30.404</v>
      </c>
      <c r="W14" s="4">
        <v>30.260999999999999</v>
      </c>
      <c r="X14" s="4">
        <v>30.704999999999998</v>
      </c>
      <c r="Y14" s="4">
        <v>31.321999999999999</v>
      </c>
      <c r="Z14" s="4">
        <v>31.047999999999998</v>
      </c>
      <c r="AA14" s="4">
        <v>30.632000000000001</v>
      </c>
      <c r="AB14" s="4">
        <v>30.646000000000001</v>
      </c>
      <c r="AC14" s="4">
        <v>30.852</v>
      </c>
      <c r="AD14" s="4">
        <v>30.882999999999999</v>
      </c>
      <c r="AE14" s="4">
        <v>30.611999999999998</v>
      </c>
      <c r="AF14" s="4">
        <v>30.533999999999999</v>
      </c>
      <c r="AG14" s="4">
        <v>30.449000000000002</v>
      </c>
      <c r="AH14" s="4">
        <v>29.806999999999999</v>
      </c>
      <c r="AI14" s="4">
        <v>28.881</v>
      </c>
      <c r="AJ14" s="4">
        <v>28.814</v>
      </c>
      <c r="AK14" s="4">
        <v>28.946000000000002</v>
      </c>
      <c r="AL14" s="4">
        <v>28.678000000000001</v>
      </c>
      <c r="AM14" s="4">
        <v>27.988</v>
      </c>
      <c r="AN14" s="4">
        <v>27.184999999999999</v>
      </c>
      <c r="AO14" s="4">
        <v>26.623999999999999</v>
      </c>
      <c r="AP14" s="4">
        <v>26.780999999999999</v>
      </c>
      <c r="AQ14" s="4">
        <v>27.126999999999999</v>
      </c>
      <c r="AR14" s="4">
        <v>27.741</v>
      </c>
      <c r="AS14" s="4">
        <v>28.527000000000001</v>
      </c>
      <c r="AT14" s="4">
        <v>29.582000000000001</v>
      </c>
      <c r="AU14" s="4">
        <v>30.295000000000002</v>
      </c>
      <c r="AV14" s="4">
        <v>30.800999999999998</v>
      </c>
      <c r="AW14" s="4">
        <v>29.8</v>
      </c>
    </row>
    <row r="15" spans="1:49" x14ac:dyDescent="0.35">
      <c r="A15" s="3" t="s">
        <v>67</v>
      </c>
      <c r="B15" s="3" t="s">
        <v>68</v>
      </c>
      <c r="C15" s="4">
        <v>1.4430000000000001</v>
      </c>
      <c r="D15" s="4">
        <v>1.6259999999999999</v>
      </c>
      <c r="E15" s="4">
        <v>1.85</v>
      </c>
      <c r="F15" s="4">
        <v>2.0630000000000002</v>
      </c>
      <c r="G15" s="4">
        <v>2.2799999999999998</v>
      </c>
      <c r="H15" s="4">
        <v>2.407</v>
      </c>
      <c r="I15" s="4">
        <v>2.4900000000000002</v>
      </c>
      <c r="J15" s="4">
        <v>2.617</v>
      </c>
      <c r="K15" s="4">
        <v>2.7850000000000001</v>
      </c>
      <c r="L15" s="4">
        <v>2.94</v>
      </c>
      <c r="M15" s="4">
        <v>3.1320000000000001</v>
      </c>
      <c r="N15" s="4">
        <v>3.423</v>
      </c>
      <c r="O15" s="4">
        <v>3.6230000000000002</v>
      </c>
      <c r="P15" s="4">
        <v>3.5350000000000001</v>
      </c>
      <c r="Q15" s="4">
        <v>3.3069999999999999</v>
      </c>
      <c r="R15" s="4">
        <v>3.12</v>
      </c>
      <c r="S15" s="4">
        <v>3.1230000000000002</v>
      </c>
      <c r="T15" s="4">
        <v>3.1970000000000001</v>
      </c>
      <c r="U15" s="4">
        <v>3.02</v>
      </c>
      <c r="V15" s="4">
        <v>2.847</v>
      </c>
      <c r="W15" s="4">
        <v>2.85</v>
      </c>
      <c r="X15" s="4">
        <v>2.867</v>
      </c>
      <c r="Y15" s="4">
        <v>3.0230000000000001</v>
      </c>
      <c r="Z15" s="4">
        <v>3.1779999999999999</v>
      </c>
      <c r="AA15" s="4">
        <v>3.35</v>
      </c>
      <c r="AB15" s="4">
        <v>3.7309999999999999</v>
      </c>
      <c r="AC15" s="4">
        <v>4.0529999999999999</v>
      </c>
      <c r="AD15" s="4">
        <v>4.2590000000000003</v>
      </c>
      <c r="AE15" s="4">
        <v>4.4340000000000002</v>
      </c>
      <c r="AF15" s="4">
        <v>4.6189999999999998</v>
      </c>
      <c r="AG15" s="4">
        <v>4.391</v>
      </c>
      <c r="AH15" s="4">
        <v>4.077</v>
      </c>
      <c r="AI15" s="4">
        <v>3.8279999999999998</v>
      </c>
      <c r="AJ15" s="4">
        <v>3.7639999999999998</v>
      </c>
      <c r="AK15" s="4">
        <v>3.5990000000000002</v>
      </c>
      <c r="AL15" s="4">
        <v>3.427</v>
      </c>
      <c r="AM15" s="4">
        <v>3.3559999999999999</v>
      </c>
      <c r="AN15" s="4">
        <v>3.278</v>
      </c>
      <c r="AO15" s="4">
        <v>3.2170000000000001</v>
      </c>
      <c r="AP15" s="4">
        <v>3.3420000000000001</v>
      </c>
      <c r="AQ15" s="4">
        <v>3.4169999999999998</v>
      </c>
      <c r="AR15" s="4">
        <v>3.669</v>
      </c>
      <c r="AS15" s="4">
        <v>3.883</v>
      </c>
      <c r="AT15" s="4">
        <v>4.1870000000000003</v>
      </c>
      <c r="AU15" s="4">
        <v>3.9129999999999998</v>
      </c>
      <c r="AV15" s="4">
        <v>3.726</v>
      </c>
      <c r="AW15" s="4">
        <v>3.532</v>
      </c>
    </row>
    <row r="16" spans="1:49" x14ac:dyDescent="0.35">
      <c r="A16" s="3" t="s">
        <v>69</v>
      </c>
      <c r="B16" s="3" t="s">
        <v>70</v>
      </c>
      <c r="C16" s="4">
        <v>0.158</v>
      </c>
      <c r="D16" s="4">
        <v>0.185</v>
      </c>
      <c r="E16" s="4">
        <v>0.22900000000000001</v>
      </c>
      <c r="F16" s="4">
        <v>0.26700000000000002</v>
      </c>
      <c r="G16" s="4">
        <v>0.311</v>
      </c>
      <c r="H16" s="4">
        <v>0.34</v>
      </c>
      <c r="I16" s="4">
        <v>0.38800000000000001</v>
      </c>
      <c r="J16" s="4">
        <v>0.443</v>
      </c>
      <c r="K16" s="4">
        <v>0.50700000000000001</v>
      </c>
      <c r="L16" s="4">
        <v>0.56399999999999995</v>
      </c>
      <c r="M16" s="4">
        <v>0.628</v>
      </c>
      <c r="N16" s="4">
        <v>0.65400000000000003</v>
      </c>
      <c r="O16" s="4">
        <v>0.66800000000000004</v>
      </c>
      <c r="P16" s="4">
        <v>0.64900000000000002</v>
      </c>
      <c r="Q16" s="4">
        <v>0.626</v>
      </c>
      <c r="R16" s="4">
        <v>0.60799999999999998</v>
      </c>
      <c r="S16" s="4">
        <v>0.60599999999999998</v>
      </c>
      <c r="T16" s="4">
        <v>0.59199999999999997</v>
      </c>
      <c r="U16" s="4">
        <v>0.56399999999999995</v>
      </c>
      <c r="V16" s="4">
        <v>0.54</v>
      </c>
      <c r="W16" s="4">
        <v>0.51900000000000002</v>
      </c>
      <c r="X16" s="4">
        <v>0.52900000000000003</v>
      </c>
      <c r="Y16" s="4">
        <v>0.504</v>
      </c>
      <c r="Z16" s="4">
        <v>0.45</v>
      </c>
      <c r="AA16" s="4">
        <v>0.40400000000000003</v>
      </c>
      <c r="AB16" s="4">
        <v>0.39900000000000002</v>
      </c>
      <c r="AC16" s="4">
        <v>0.39</v>
      </c>
      <c r="AD16" s="4">
        <v>0.38500000000000001</v>
      </c>
      <c r="AE16" s="4">
        <v>0.36399999999999999</v>
      </c>
      <c r="AF16" s="4">
        <v>0.32100000000000001</v>
      </c>
      <c r="AG16" s="4">
        <v>0.29699999999999999</v>
      </c>
      <c r="AH16" s="4">
        <v>0.26800000000000002</v>
      </c>
      <c r="AI16" s="4">
        <v>0.26600000000000001</v>
      </c>
      <c r="AJ16" s="4">
        <v>0.26900000000000002</v>
      </c>
      <c r="AK16" s="4">
        <v>0.27</v>
      </c>
      <c r="AL16" s="4">
        <v>0.27200000000000002</v>
      </c>
      <c r="AM16" s="4">
        <v>0.28299999999999997</v>
      </c>
      <c r="AN16" s="4">
        <v>0.29599999999999999</v>
      </c>
      <c r="AO16" s="4">
        <v>0.34499999999999997</v>
      </c>
      <c r="AP16" s="4">
        <v>0.371</v>
      </c>
      <c r="AQ16" s="4">
        <v>0.41</v>
      </c>
      <c r="AR16" s="4">
        <v>0.40899999999999997</v>
      </c>
      <c r="AS16" s="4">
        <v>0.433</v>
      </c>
      <c r="AT16" s="4">
        <v>0.45</v>
      </c>
      <c r="AU16" s="4">
        <v>0.43</v>
      </c>
      <c r="AV16" s="4">
        <v>0.40400000000000003</v>
      </c>
      <c r="AW16" s="4">
        <v>0.39100000000000001</v>
      </c>
    </row>
    <row r="17" spans="1:49" x14ac:dyDescent="0.35">
      <c r="A17" s="3" t="s">
        <v>71</v>
      </c>
      <c r="B17" s="3" t="s">
        <v>72</v>
      </c>
      <c r="C17" s="4">
        <v>11.179</v>
      </c>
      <c r="D17" s="4">
        <v>12.968999999999999</v>
      </c>
      <c r="E17" s="4">
        <v>15.436</v>
      </c>
      <c r="F17" s="4">
        <v>18.146000000000001</v>
      </c>
      <c r="G17" s="4">
        <v>20.341000000000001</v>
      </c>
      <c r="H17" s="4">
        <v>21.606000000000002</v>
      </c>
      <c r="I17" s="4">
        <v>22.617999999999999</v>
      </c>
      <c r="J17" s="4">
        <v>23.343</v>
      </c>
      <c r="K17" s="4">
        <v>24.096</v>
      </c>
      <c r="L17" s="4">
        <v>24.959</v>
      </c>
      <c r="M17" s="4">
        <v>26.102</v>
      </c>
      <c r="N17" s="4">
        <v>27.672000000000001</v>
      </c>
      <c r="O17" s="4">
        <v>29.056000000000001</v>
      </c>
      <c r="P17" s="4">
        <v>29.51</v>
      </c>
      <c r="Q17" s="4">
        <v>28.667999999999999</v>
      </c>
      <c r="R17" s="4">
        <v>27.667999999999999</v>
      </c>
      <c r="S17" s="4">
        <v>27.253</v>
      </c>
      <c r="T17" s="4">
        <v>27.193000000000001</v>
      </c>
      <c r="U17" s="4">
        <v>27.202999999999999</v>
      </c>
      <c r="V17" s="4">
        <v>27.016999999999999</v>
      </c>
      <c r="W17" s="4">
        <v>26.890999999999998</v>
      </c>
      <c r="X17" s="4">
        <v>27.309000000000001</v>
      </c>
      <c r="Y17" s="4">
        <v>27.795000000000002</v>
      </c>
      <c r="Z17" s="4">
        <v>27.42</v>
      </c>
      <c r="AA17" s="4">
        <v>26.878</v>
      </c>
      <c r="AB17" s="4">
        <v>26.516999999999999</v>
      </c>
      <c r="AC17" s="4">
        <v>26.408000000000001</v>
      </c>
      <c r="AD17" s="4">
        <v>26.239000000000001</v>
      </c>
      <c r="AE17" s="4">
        <v>25.814</v>
      </c>
      <c r="AF17" s="4">
        <v>25.593</v>
      </c>
      <c r="AG17" s="4">
        <v>25.762</v>
      </c>
      <c r="AH17" s="4">
        <v>25.462</v>
      </c>
      <c r="AI17" s="4">
        <v>24.786999999999999</v>
      </c>
      <c r="AJ17" s="4">
        <v>24.780999999999999</v>
      </c>
      <c r="AK17" s="4">
        <v>25.077000000000002</v>
      </c>
      <c r="AL17" s="4">
        <v>24.978999999999999</v>
      </c>
      <c r="AM17" s="4">
        <v>24.349</v>
      </c>
      <c r="AN17" s="4">
        <v>23.611000000000001</v>
      </c>
      <c r="AO17" s="4">
        <v>23.062000000000001</v>
      </c>
      <c r="AP17" s="4">
        <v>23.068000000000001</v>
      </c>
      <c r="AQ17" s="4">
        <v>23.3</v>
      </c>
      <c r="AR17" s="4">
        <v>23.663</v>
      </c>
      <c r="AS17" s="4">
        <v>24.210999999999999</v>
      </c>
      <c r="AT17" s="4">
        <v>24.945</v>
      </c>
      <c r="AU17" s="4">
        <v>25.952999999999999</v>
      </c>
      <c r="AV17" s="4">
        <v>26.670999999999999</v>
      </c>
      <c r="AW17" s="4">
        <v>25.876999999999999</v>
      </c>
    </row>
    <row r="18" spans="1:49" x14ac:dyDescent="0.35">
      <c r="A18" s="3" t="s">
        <v>73</v>
      </c>
      <c r="B18" s="3" t="s">
        <v>74</v>
      </c>
    </row>
    <row r="19" spans="1:49" x14ac:dyDescent="0.35">
      <c r="A19" s="3" t="s">
        <v>75</v>
      </c>
      <c r="B19" s="3" t="s">
        <v>76</v>
      </c>
      <c r="C19" s="4">
        <v>9.5419999999999998</v>
      </c>
      <c r="D19" s="4">
        <v>10.138999999999999</v>
      </c>
      <c r="E19" s="4">
        <v>11.057</v>
      </c>
      <c r="F19" s="4">
        <v>12.106</v>
      </c>
      <c r="G19" s="4">
        <v>14.289</v>
      </c>
      <c r="H19" s="4">
        <v>14.986000000000001</v>
      </c>
      <c r="I19" s="4">
        <v>15.377000000000001</v>
      </c>
      <c r="J19" s="4">
        <v>15.76</v>
      </c>
      <c r="K19" s="4">
        <v>15.262</v>
      </c>
      <c r="L19" s="4">
        <v>15.000999999999999</v>
      </c>
      <c r="M19" s="4">
        <v>16.478000000000002</v>
      </c>
      <c r="N19" s="4">
        <v>17.401</v>
      </c>
      <c r="O19" s="4">
        <v>17.010999999999999</v>
      </c>
      <c r="P19" s="4">
        <v>16.068000000000001</v>
      </c>
      <c r="Q19" s="4">
        <v>15.428000000000001</v>
      </c>
      <c r="R19" s="4">
        <v>14.768000000000001</v>
      </c>
      <c r="S19" s="4">
        <v>14.461</v>
      </c>
      <c r="T19" s="4">
        <v>13.004</v>
      </c>
      <c r="U19" s="4">
        <v>11.747</v>
      </c>
      <c r="V19" s="4">
        <v>11.637</v>
      </c>
      <c r="W19" s="4">
        <v>11.433999999999999</v>
      </c>
      <c r="X19" s="4">
        <v>10.552</v>
      </c>
      <c r="Y19" s="4">
        <v>10.217000000000001</v>
      </c>
      <c r="Z19" s="4">
        <v>9.891</v>
      </c>
      <c r="AA19" s="4">
        <v>9.7460000000000004</v>
      </c>
      <c r="AB19" s="4">
        <v>9.5589999999999993</v>
      </c>
      <c r="AC19" s="4">
        <v>9.0079999999999991</v>
      </c>
      <c r="AD19" s="4">
        <v>8.58</v>
      </c>
      <c r="AE19" s="4">
        <v>8.3010000000000002</v>
      </c>
      <c r="AF19" s="4">
        <v>8.2070000000000007</v>
      </c>
      <c r="AG19" s="4">
        <v>7.4340000000000002</v>
      </c>
      <c r="AH19" s="4">
        <v>7.4320000000000004</v>
      </c>
      <c r="AI19" s="4">
        <v>7.1580000000000004</v>
      </c>
      <c r="AJ19" s="4">
        <v>6.9539999999999997</v>
      </c>
      <c r="AK19" s="4">
        <v>6.7039999999999997</v>
      </c>
      <c r="AL19" s="4">
        <v>6.5910000000000002</v>
      </c>
      <c r="AM19" s="4">
        <v>6.3570000000000002</v>
      </c>
      <c r="AN19" s="4">
        <v>6.1079999999999997</v>
      </c>
      <c r="AO19" s="4">
        <v>5.9189999999999996</v>
      </c>
      <c r="AP19" s="4">
        <v>5.6529999999999996</v>
      </c>
      <c r="AQ19" s="4">
        <v>5.4489999999999998</v>
      </c>
      <c r="AR19" s="4">
        <v>5.6790000000000003</v>
      </c>
      <c r="AS19" s="4">
        <v>5.4249999999999998</v>
      </c>
      <c r="AT19" s="4">
        <v>5.2290000000000001</v>
      </c>
      <c r="AU19" s="4">
        <v>5.6139999999999999</v>
      </c>
      <c r="AV19" s="4">
        <v>4.99</v>
      </c>
      <c r="AW19" s="4">
        <v>5.2149999999999999</v>
      </c>
    </row>
    <row r="20" spans="1:49" x14ac:dyDescent="0.35">
      <c r="A20" s="3" t="s">
        <v>77</v>
      </c>
      <c r="B20" s="3" t="s">
        <v>78</v>
      </c>
      <c r="C20" s="4">
        <v>1.1930000000000001</v>
      </c>
      <c r="D20" s="4">
        <v>1.33</v>
      </c>
      <c r="E20" s="4">
        <v>1.504</v>
      </c>
      <c r="F20" s="4">
        <v>1.69</v>
      </c>
      <c r="G20" s="4">
        <v>1.8320000000000001</v>
      </c>
      <c r="H20" s="4">
        <v>1.9239999999999999</v>
      </c>
      <c r="I20" s="4">
        <v>2.0150000000000001</v>
      </c>
      <c r="J20" s="4">
        <v>2.0950000000000002</v>
      </c>
      <c r="K20" s="4">
        <v>2.218</v>
      </c>
      <c r="L20" s="4">
        <v>2.3319999999999999</v>
      </c>
      <c r="M20" s="4">
        <v>2.4489999999999998</v>
      </c>
      <c r="N20" s="4">
        <v>2.6070000000000002</v>
      </c>
      <c r="O20" s="4">
        <v>2.746</v>
      </c>
      <c r="P20" s="4">
        <v>2.7839999999999998</v>
      </c>
      <c r="Q20" s="4">
        <v>2.7770000000000001</v>
      </c>
      <c r="R20" s="4">
        <v>2.7189999999999999</v>
      </c>
      <c r="S20" s="4">
        <v>2.7570000000000001</v>
      </c>
      <c r="T20" s="4">
        <v>2.7919999999999998</v>
      </c>
      <c r="U20" s="4">
        <v>2.774</v>
      </c>
      <c r="V20" s="4">
        <v>2.7589999999999999</v>
      </c>
      <c r="W20" s="4">
        <v>2.7930000000000001</v>
      </c>
      <c r="X20" s="4">
        <v>2.8820000000000001</v>
      </c>
      <c r="Y20" s="4">
        <v>3.0339999999999998</v>
      </c>
      <c r="Z20" s="4">
        <v>3.1789999999999998</v>
      </c>
      <c r="AA20" s="4">
        <v>3.1859999999999999</v>
      </c>
      <c r="AB20" s="4">
        <v>3.1840000000000002</v>
      </c>
      <c r="AC20" s="4">
        <v>3.2410000000000001</v>
      </c>
      <c r="AD20" s="4">
        <v>3.3119999999999998</v>
      </c>
      <c r="AE20" s="4">
        <v>3.3690000000000002</v>
      </c>
      <c r="AF20" s="4">
        <v>3.4910000000000001</v>
      </c>
      <c r="AG20" s="4">
        <v>3.4820000000000002</v>
      </c>
      <c r="AH20" s="4">
        <v>3.2869999999999999</v>
      </c>
      <c r="AI20" s="4">
        <v>3.1640000000000001</v>
      </c>
      <c r="AJ20" s="4">
        <v>3.1320000000000001</v>
      </c>
      <c r="AK20" s="4">
        <v>3.1669999999999998</v>
      </c>
      <c r="AL20" s="4">
        <v>3.173</v>
      </c>
      <c r="AM20" s="4">
        <v>3.1709999999999998</v>
      </c>
      <c r="AN20" s="4">
        <v>3.169</v>
      </c>
      <c r="AO20" s="4">
        <v>3.1970000000000001</v>
      </c>
      <c r="AP20" s="4">
        <v>3.2959999999999998</v>
      </c>
      <c r="AQ20" s="4">
        <v>3.4740000000000002</v>
      </c>
      <c r="AR20" s="4">
        <v>3.6779999999999999</v>
      </c>
      <c r="AS20" s="4">
        <v>3.8879999999999999</v>
      </c>
      <c r="AT20" s="4">
        <v>4.4720000000000004</v>
      </c>
      <c r="AU20" s="4">
        <v>5.1289999999999996</v>
      </c>
      <c r="AV20" s="4">
        <v>5.8029999999999999</v>
      </c>
      <c r="AW20" s="4">
        <v>6.4390000000000001</v>
      </c>
    </row>
    <row r="21" spans="1:49" x14ac:dyDescent="0.35">
      <c r="A21" s="3" t="s">
        <v>79</v>
      </c>
      <c r="B21" s="3" t="s">
        <v>80</v>
      </c>
      <c r="C21" s="4">
        <v>0.88900000000000001</v>
      </c>
      <c r="D21" s="4">
        <v>0.96699999999999997</v>
      </c>
      <c r="E21" s="4">
        <v>1.087</v>
      </c>
      <c r="F21" s="4">
        <v>1.232</v>
      </c>
      <c r="G21" s="4">
        <v>1.3480000000000001</v>
      </c>
      <c r="H21" s="4">
        <v>1.413</v>
      </c>
      <c r="I21" s="4">
        <v>1.4490000000000001</v>
      </c>
      <c r="J21" s="4">
        <v>1.4650000000000001</v>
      </c>
      <c r="K21" s="4">
        <v>1.472</v>
      </c>
      <c r="L21" s="4">
        <v>1.488</v>
      </c>
      <c r="M21" s="4">
        <v>1.5169999999999999</v>
      </c>
      <c r="N21" s="4">
        <v>1.5660000000000001</v>
      </c>
      <c r="O21" s="4">
        <v>1.611</v>
      </c>
      <c r="P21" s="4">
        <v>1.629</v>
      </c>
      <c r="Q21" s="4">
        <v>1.5960000000000001</v>
      </c>
      <c r="R21" s="4">
        <v>1.536</v>
      </c>
      <c r="S21" s="4">
        <v>1.488</v>
      </c>
      <c r="T21" s="4">
        <v>1.454</v>
      </c>
      <c r="U21" s="4">
        <v>1.4490000000000001</v>
      </c>
      <c r="V21" s="4">
        <v>1.44</v>
      </c>
      <c r="W21" s="4">
        <v>1.4370000000000001</v>
      </c>
      <c r="X21" s="4">
        <v>1.466</v>
      </c>
      <c r="Y21" s="4">
        <v>1.498</v>
      </c>
      <c r="Z21" s="4">
        <v>1.4950000000000001</v>
      </c>
      <c r="AA21" s="4">
        <v>1.4710000000000001</v>
      </c>
      <c r="AB21" s="4">
        <v>1.4470000000000001</v>
      </c>
      <c r="AC21" s="4">
        <v>1.4490000000000001</v>
      </c>
      <c r="AD21" s="4">
        <v>1.4339999999999999</v>
      </c>
      <c r="AE21" s="4">
        <v>1.4119999999999999</v>
      </c>
      <c r="AF21" s="4">
        <v>1.417</v>
      </c>
      <c r="AG21" s="4">
        <v>1.4139999999999999</v>
      </c>
      <c r="AH21" s="4">
        <v>1.353</v>
      </c>
      <c r="AI21" s="4">
        <v>1.2969999999999999</v>
      </c>
      <c r="AJ21" s="4">
        <v>1.2909999999999999</v>
      </c>
      <c r="AK21" s="4">
        <v>1.2769999999999999</v>
      </c>
      <c r="AL21" s="4">
        <v>1.232</v>
      </c>
      <c r="AM21" s="4">
        <v>1.1619999999999999</v>
      </c>
      <c r="AN21" s="4">
        <v>1.0880000000000001</v>
      </c>
      <c r="AO21" s="4">
        <v>1.032</v>
      </c>
      <c r="AP21" s="4">
        <v>0.97899999999999998</v>
      </c>
      <c r="AQ21" s="4">
        <v>0.95299999999999996</v>
      </c>
      <c r="AR21" s="4">
        <v>0.91700000000000004</v>
      </c>
      <c r="AS21" s="4">
        <v>0.874</v>
      </c>
      <c r="AT21" s="4">
        <v>0.84499999999999997</v>
      </c>
      <c r="AU21" s="4">
        <v>0.82199999999999995</v>
      </c>
      <c r="AV21" s="4">
        <v>0.80500000000000005</v>
      </c>
      <c r="AW21" s="4">
        <v>0.78800000000000003</v>
      </c>
    </row>
    <row r="22" spans="1:49" x14ac:dyDescent="0.35">
      <c r="A22" s="3" t="s">
        <v>81</v>
      </c>
      <c r="B22" s="3" t="s">
        <v>82</v>
      </c>
      <c r="C22" s="4">
        <v>0.30399999999999999</v>
      </c>
      <c r="D22" s="4">
        <v>0.36299999999999999</v>
      </c>
      <c r="E22" s="4">
        <v>0.41699999999999998</v>
      </c>
      <c r="F22" s="4">
        <v>0.45800000000000002</v>
      </c>
      <c r="G22" s="4">
        <v>0.48399999999999999</v>
      </c>
      <c r="H22" s="4">
        <v>0.51100000000000001</v>
      </c>
      <c r="I22" s="4">
        <v>0.56599999999999995</v>
      </c>
      <c r="J22" s="4">
        <v>0.629</v>
      </c>
      <c r="K22" s="4">
        <v>0.745</v>
      </c>
      <c r="L22" s="4">
        <v>0.84299999999999997</v>
      </c>
      <c r="M22" s="4">
        <v>0.93100000000000005</v>
      </c>
      <c r="N22" s="4">
        <v>1.04</v>
      </c>
      <c r="O22" s="4">
        <v>1.133</v>
      </c>
      <c r="P22" s="4">
        <v>1.153</v>
      </c>
      <c r="Q22" s="4">
        <v>1.1779999999999999</v>
      </c>
      <c r="R22" s="4">
        <v>1.181</v>
      </c>
      <c r="S22" s="4">
        <v>1.2669999999999999</v>
      </c>
      <c r="T22" s="4">
        <v>1.3360000000000001</v>
      </c>
      <c r="U22" s="4">
        <v>1.323</v>
      </c>
      <c r="V22" s="4">
        <v>1.3169999999999999</v>
      </c>
      <c r="W22" s="4">
        <v>1.3540000000000001</v>
      </c>
      <c r="X22" s="4">
        <v>1.4139999999999999</v>
      </c>
      <c r="Y22" s="4">
        <v>1.532</v>
      </c>
      <c r="Z22" s="4">
        <v>1.68</v>
      </c>
      <c r="AA22" s="4">
        <v>1.71</v>
      </c>
      <c r="AB22" s="4">
        <v>1.7330000000000001</v>
      </c>
      <c r="AC22" s="4">
        <v>1.788</v>
      </c>
      <c r="AD22" s="4">
        <v>1.873</v>
      </c>
      <c r="AE22" s="4">
        <v>1.952</v>
      </c>
      <c r="AF22" s="4">
        <v>2.069</v>
      </c>
      <c r="AG22" s="4">
        <v>2.0630000000000002</v>
      </c>
      <c r="AH22" s="4">
        <v>1.929</v>
      </c>
      <c r="AI22" s="4">
        <v>1.861</v>
      </c>
      <c r="AJ22" s="4">
        <v>1.8380000000000001</v>
      </c>
      <c r="AK22" s="4">
        <v>1.883</v>
      </c>
      <c r="AL22" s="4">
        <v>1.9350000000000001</v>
      </c>
      <c r="AM22" s="4">
        <v>2.0049999999999999</v>
      </c>
      <c r="AN22" s="4">
        <v>2.0779999999999998</v>
      </c>
      <c r="AO22" s="4">
        <v>2.1619999999999999</v>
      </c>
      <c r="AP22" s="4">
        <v>2.3140000000000001</v>
      </c>
      <c r="AQ22" s="4">
        <v>2.5179999999999998</v>
      </c>
      <c r="AR22" s="4">
        <v>2.758</v>
      </c>
      <c r="AS22" s="4">
        <v>3.01</v>
      </c>
      <c r="AT22" s="4">
        <v>3.6219999999999999</v>
      </c>
      <c r="AU22" s="4">
        <v>4.3010000000000002</v>
      </c>
      <c r="AV22" s="4">
        <v>4.99</v>
      </c>
      <c r="AW22" s="4">
        <v>5.6420000000000003</v>
      </c>
    </row>
    <row r="23" spans="1:49" x14ac:dyDescent="0.35">
      <c r="A23" s="3" t="s">
        <v>83</v>
      </c>
      <c r="B23" s="3" t="s">
        <v>84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1E-3</v>
      </c>
      <c r="K23" s="4">
        <v>1E-3</v>
      </c>
      <c r="L23" s="4">
        <v>1E-3</v>
      </c>
      <c r="M23" s="4">
        <v>1E-3</v>
      </c>
      <c r="N23" s="4">
        <v>1E-3</v>
      </c>
      <c r="O23" s="4">
        <v>2E-3</v>
      </c>
      <c r="P23" s="4">
        <v>2E-3</v>
      </c>
      <c r="Q23" s="4">
        <v>3.0000000000000001E-3</v>
      </c>
      <c r="R23" s="4">
        <v>2E-3</v>
      </c>
      <c r="S23" s="4">
        <v>2E-3</v>
      </c>
      <c r="T23" s="4">
        <v>2E-3</v>
      </c>
      <c r="U23" s="4">
        <v>2E-3</v>
      </c>
      <c r="V23" s="4">
        <v>2E-3</v>
      </c>
      <c r="W23" s="4">
        <v>2E-3</v>
      </c>
      <c r="X23" s="4">
        <v>2E-3</v>
      </c>
      <c r="Y23" s="4">
        <v>4.0000000000000001E-3</v>
      </c>
      <c r="Z23" s="4">
        <v>4.0000000000000001E-3</v>
      </c>
      <c r="AA23" s="4">
        <v>5.0000000000000001E-3</v>
      </c>
      <c r="AB23" s="4">
        <v>4.0000000000000001E-3</v>
      </c>
      <c r="AC23" s="4">
        <v>4.0000000000000001E-3</v>
      </c>
      <c r="AD23" s="4">
        <v>5.0000000000000001E-3</v>
      </c>
      <c r="AE23" s="4">
        <v>5.0000000000000001E-3</v>
      </c>
      <c r="AF23" s="4">
        <v>5.0000000000000001E-3</v>
      </c>
      <c r="AG23" s="4">
        <v>5.0000000000000001E-3</v>
      </c>
      <c r="AH23" s="4">
        <v>5.0000000000000001E-3</v>
      </c>
      <c r="AI23" s="4">
        <v>6.0000000000000001E-3</v>
      </c>
      <c r="AJ23" s="4">
        <v>3.0000000000000001E-3</v>
      </c>
      <c r="AK23" s="4">
        <v>7.0000000000000001E-3</v>
      </c>
      <c r="AL23" s="4">
        <v>6.0000000000000001E-3</v>
      </c>
      <c r="AM23" s="4">
        <v>4.0000000000000001E-3</v>
      </c>
      <c r="AN23" s="4">
        <v>3.0000000000000001E-3</v>
      </c>
      <c r="AO23" s="4">
        <v>3.0000000000000001E-3</v>
      </c>
      <c r="AP23" s="4">
        <v>3.0000000000000001E-3</v>
      </c>
      <c r="AQ23" s="4">
        <v>3.0000000000000001E-3</v>
      </c>
      <c r="AR23" s="4">
        <v>3.0000000000000001E-3</v>
      </c>
      <c r="AS23" s="4">
        <v>4.0000000000000001E-3</v>
      </c>
      <c r="AT23" s="4">
        <v>5.0000000000000001E-3</v>
      </c>
      <c r="AU23" s="4">
        <v>7.0000000000000001E-3</v>
      </c>
      <c r="AV23" s="4">
        <v>8.9999999999999993E-3</v>
      </c>
      <c r="AW23" s="4">
        <v>8.9999999999999993E-3</v>
      </c>
    </row>
    <row r="24" spans="1:49" x14ac:dyDescent="0.35">
      <c r="A24" s="3" t="s">
        <v>85</v>
      </c>
      <c r="B24" s="3" t="s">
        <v>86</v>
      </c>
      <c r="C24" s="4">
        <v>8.0860000000000003</v>
      </c>
      <c r="D24" s="4">
        <v>9.3520000000000003</v>
      </c>
      <c r="E24" s="4">
        <v>10.957000000000001</v>
      </c>
      <c r="F24" s="4">
        <v>12.288</v>
      </c>
      <c r="G24" s="4">
        <v>12.667999999999999</v>
      </c>
      <c r="H24" s="4">
        <v>12.933</v>
      </c>
      <c r="I24" s="4">
        <v>12.688000000000001</v>
      </c>
      <c r="J24" s="4">
        <v>12.676</v>
      </c>
      <c r="K24" s="4">
        <v>12.034000000000001</v>
      </c>
      <c r="L24" s="4">
        <v>11.489000000000001</v>
      </c>
      <c r="M24" s="4">
        <v>11.81</v>
      </c>
      <c r="N24" s="4">
        <v>12.457000000000001</v>
      </c>
      <c r="O24" s="4">
        <v>12.731</v>
      </c>
      <c r="P24" s="4">
        <v>12.821</v>
      </c>
      <c r="Q24" s="4">
        <v>12.698</v>
      </c>
      <c r="R24" s="4">
        <v>12.262</v>
      </c>
      <c r="S24" s="4">
        <v>12.493</v>
      </c>
      <c r="T24" s="4">
        <v>13.558</v>
      </c>
      <c r="U24" s="4">
        <v>13.832000000000001</v>
      </c>
      <c r="V24" s="4">
        <v>14.131</v>
      </c>
      <c r="W24" s="4">
        <v>14.302</v>
      </c>
      <c r="X24" s="4">
        <v>14.624000000000001</v>
      </c>
      <c r="Y24" s="4">
        <v>14.228</v>
      </c>
      <c r="Z24" s="4">
        <v>13.571999999999999</v>
      </c>
      <c r="AA24" s="4">
        <v>13.159000000000001</v>
      </c>
      <c r="AB24" s="4">
        <v>12.641999999999999</v>
      </c>
      <c r="AC24" s="4">
        <v>12.853999999999999</v>
      </c>
      <c r="AD24" s="4">
        <v>13.257</v>
      </c>
      <c r="AE24" s="4">
        <v>14.375999999999999</v>
      </c>
      <c r="AF24" s="4">
        <v>16.239000000000001</v>
      </c>
      <c r="AG24" s="4">
        <v>15.901</v>
      </c>
      <c r="AH24" s="4">
        <v>13.436999999999999</v>
      </c>
      <c r="AI24" s="4">
        <v>13.525</v>
      </c>
      <c r="AJ24" s="4">
        <v>13.105</v>
      </c>
      <c r="AK24" s="4">
        <v>12.609</v>
      </c>
      <c r="AL24" s="4">
        <v>13.244</v>
      </c>
      <c r="AM24" s="4">
        <v>14.515000000000001</v>
      </c>
      <c r="AN24" s="4">
        <v>14.481</v>
      </c>
      <c r="AO24" s="4">
        <v>14.038</v>
      </c>
      <c r="AP24" s="4">
        <v>13.542999999999999</v>
      </c>
      <c r="AQ24" s="4">
        <v>14.16</v>
      </c>
      <c r="AR24" s="4">
        <v>13.314</v>
      </c>
      <c r="AS24" s="4">
        <v>12.675000000000001</v>
      </c>
      <c r="AT24" s="4">
        <v>14.946999999999999</v>
      </c>
      <c r="AU24" s="4">
        <v>18.71</v>
      </c>
      <c r="AV24" s="4">
        <v>18.146000000000001</v>
      </c>
      <c r="AW24" s="4">
        <v>17.7</v>
      </c>
    </row>
    <row r="25" spans="1:49" x14ac:dyDescent="0.35">
      <c r="A25" s="3" t="s">
        <v>87</v>
      </c>
      <c r="B25" s="3" t="s">
        <v>88</v>
      </c>
      <c r="C25" s="4">
        <v>43.579000000000001</v>
      </c>
      <c r="D25" s="4">
        <v>49.805</v>
      </c>
      <c r="E25" s="4">
        <v>52.38</v>
      </c>
      <c r="F25" s="4">
        <v>50.012</v>
      </c>
      <c r="G25" s="4">
        <v>55.887999999999998</v>
      </c>
      <c r="H25" s="4">
        <v>66.738</v>
      </c>
      <c r="I25" s="4">
        <v>64.626000000000005</v>
      </c>
      <c r="J25" s="4">
        <v>59.145000000000003</v>
      </c>
      <c r="K25" s="4">
        <v>59.435000000000002</v>
      </c>
      <c r="L25" s="4">
        <v>61.524999999999999</v>
      </c>
      <c r="M25" s="4">
        <v>58.771000000000001</v>
      </c>
      <c r="N25" s="4">
        <v>53.345999999999997</v>
      </c>
      <c r="O25" s="4">
        <v>49.173999999999999</v>
      </c>
      <c r="P25" s="4">
        <v>46.295999999999999</v>
      </c>
      <c r="Q25" s="4">
        <v>44.798000000000002</v>
      </c>
      <c r="R25" s="4">
        <v>46.319000000000003</v>
      </c>
      <c r="S25" s="4">
        <v>45.290999999999997</v>
      </c>
      <c r="T25" s="4">
        <v>44.924999999999997</v>
      </c>
      <c r="U25" s="4">
        <v>45.384</v>
      </c>
      <c r="V25" s="4">
        <v>43.561999999999998</v>
      </c>
      <c r="W25" s="4">
        <v>45.052</v>
      </c>
      <c r="X25" s="4">
        <v>53.075000000000003</v>
      </c>
      <c r="Y25" s="4">
        <v>62.972999999999999</v>
      </c>
      <c r="Z25" s="4">
        <v>78.141000000000005</v>
      </c>
      <c r="AA25" s="4">
        <v>87.042000000000002</v>
      </c>
      <c r="AB25" s="4">
        <v>88.096000000000004</v>
      </c>
      <c r="AC25" s="4">
        <v>95.602999999999994</v>
      </c>
      <c r="AD25" s="4">
        <v>110.36799999999999</v>
      </c>
      <c r="AE25" s="4">
        <v>121.09699999999999</v>
      </c>
      <c r="AF25" s="4">
        <v>119.77200000000001</v>
      </c>
      <c r="AG25" s="4">
        <v>109.941</v>
      </c>
      <c r="AH25" s="4">
        <v>114.34</v>
      </c>
      <c r="AI25" s="4">
        <v>133.93700000000001</v>
      </c>
      <c r="AJ25" s="4">
        <v>139.227</v>
      </c>
      <c r="AK25" s="4">
        <v>135.065</v>
      </c>
      <c r="AL25" s="4">
        <v>132.92599999999999</v>
      </c>
      <c r="AM25" s="4">
        <v>134.00399999999999</v>
      </c>
      <c r="AN25" s="4">
        <v>132.25</v>
      </c>
      <c r="AO25" s="4">
        <v>134.26499999999999</v>
      </c>
      <c r="AP25" s="4">
        <v>142.875</v>
      </c>
      <c r="AQ25" s="4">
        <v>143.08600000000001</v>
      </c>
      <c r="AR25" s="4">
        <v>141.48699999999999</v>
      </c>
      <c r="AS25" s="4">
        <v>152.517</v>
      </c>
      <c r="AT25" s="4">
        <v>186.041</v>
      </c>
      <c r="AU25" s="4">
        <v>205.17400000000001</v>
      </c>
      <c r="AV25" s="4">
        <v>201.19399999999999</v>
      </c>
      <c r="AW25" s="4">
        <v>201.51400000000001</v>
      </c>
    </row>
    <row r="26" spans="1:49" x14ac:dyDescent="0.35">
      <c r="A26" s="3" t="s">
        <v>89</v>
      </c>
      <c r="B26" s="3" t="s">
        <v>90</v>
      </c>
      <c r="C26" s="4">
        <v>292.24700000000001</v>
      </c>
      <c r="D26" s="4">
        <v>328.12700000000001</v>
      </c>
      <c r="E26" s="4">
        <v>361.52300000000002</v>
      </c>
      <c r="F26" s="4">
        <v>396.87400000000002</v>
      </c>
      <c r="G26" s="4">
        <v>414.16399999999999</v>
      </c>
      <c r="H26" s="4">
        <v>445.798</v>
      </c>
      <c r="I26" s="4">
        <v>445.58</v>
      </c>
      <c r="J26" s="4">
        <v>458.45800000000003</v>
      </c>
      <c r="K26" s="4">
        <v>487.25599999999997</v>
      </c>
      <c r="L26" s="4">
        <v>514.029</v>
      </c>
      <c r="M26" s="4">
        <v>577.00199999999995</v>
      </c>
      <c r="N26" s="4">
        <v>662.89800000000002</v>
      </c>
      <c r="O26" s="4">
        <v>723.21199999999999</v>
      </c>
      <c r="P26" s="4">
        <v>686.81799999999998</v>
      </c>
      <c r="Q26" s="4">
        <v>615.55200000000002</v>
      </c>
      <c r="R26" s="4">
        <v>572.69899999999996</v>
      </c>
      <c r="S26" s="4">
        <v>589.38099999999997</v>
      </c>
      <c r="T26" s="4">
        <v>535.77800000000002</v>
      </c>
      <c r="U26" s="4">
        <v>526.18299999999999</v>
      </c>
      <c r="V26" s="4">
        <v>513.06700000000001</v>
      </c>
      <c r="W26" s="4">
        <v>593.02</v>
      </c>
      <c r="X26" s="4">
        <v>784.173</v>
      </c>
      <c r="Y26" s="4">
        <v>970.04300000000001</v>
      </c>
      <c r="Z26" s="4">
        <v>1145.885</v>
      </c>
      <c r="AA26" s="4">
        <v>1447.105</v>
      </c>
      <c r="AB26" s="4">
        <v>1871.1079999999999</v>
      </c>
      <c r="AC26" s="4">
        <v>2447.0549999999998</v>
      </c>
      <c r="AD26" s="4">
        <v>3089.5540000000001</v>
      </c>
      <c r="AE26" s="4">
        <v>3546.5030000000002</v>
      </c>
      <c r="AF26" s="4">
        <v>3809.2460000000001</v>
      </c>
      <c r="AG26" s="4">
        <v>3405.4059999999999</v>
      </c>
      <c r="AH26" s="4">
        <v>3279.1309999999999</v>
      </c>
      <c r="AI26" s="4">
        <v>3711.518</v>
      </c>
      <c r="AJ26" s="4">
        <v>3860.7359999999999</v>
      </c>
      <c r="AK26" s="4">
        <v>3729.2109999999998</v>
      </c>
      <c r="AL26" s="4">
        <v>3604.9760000000001</v>
      </c>
      <c r="AM26" s="4">
        <v>3453.0709999999999</v>
      </c>
      <c r="AN26" s="4">
        <v>3470.5590000000002</v>
      </c>
      <c r="AO26" s="4">
        <v>3612.616</v>
      </c>
      <c r="AP26" s="4">
        <v>3815.0529999999999</v>
      </c>
      <c r="AQ26" s="4">
        <v>4024.3220000000001</v>
      </c>
      <c r="AR26" s="4">
        <v>4329.34</v>
      </c>
      <c r="AS26" s="4">
        <v>4714.4690000000001</v>
      </c>
      <c r="AT26" s="4">
        <v>5034.7920000000004</v>
      </c>
      <c r="AU26" s="4">
        <v>5167.8980000000001</v>
      </c>
      <c r="AV26" s="4">
        <v>4725.4260000000004</v>
      </c>
      <c r="AW26" s="4">
        <v>4605.9610000000002</v>
      </c>
    </row>
    <row r="27" spans="1:49" x14ac:dyDescent="0.35">
      <c r="A27" s="3" t="s">
        <v>91</v>
      </c>
      <c r="B27" s="3" t="s">
        <v>92</v>
      </c>
      <c r="C27" s="4">
        <v>279.18299999999999</v>
      </c>
      <c r="D27" s="4">
        <v>313.54899999999998</v>
      </c>
      <c r="E27" s="4">
        <v>345.36399999999998</v>
      </c>
      <c r="F27" s="4">
        <v>379.19499999999999</v>
      </c>
      <c r="G27" s="4">
        <v>395.10700000000003</v>
      </c>
      <c r="H27" s="4">
        <v>425.56099999999998</v>
      </c>
      <c r="I27" s="4">
        <v>424.46300000000002</v>
      </c>
      <c r="J27" s="4">
        <v>436.702</v>
      </c>
      <c r="K27" s="4">
        <v>465.04300000000001</v>
      </c>
      <c r="L27" s="4">
        <v>491.4</v>
      </c>
      <c r="M27" s="4">
        <v>553.42399999999998</v>
      </c>
      <c r="N27" s="4">
        <v>637.96699999999998</v>
      </c>
      <c r="O27" s="4">
        <v>697.74400000000003</v>
      </c>
      <c r="P27" s="4">
        <v>661.73800000000006</v>
      </c>
      <c r="Q27" s="4">
        <v>591.15099999999995</v>
      </c>
      <c r="R27" s="4">
        <v>548.81500000000005</v>
      </c>
      <c r="S27" s="4">
        <v>565.34500000000003</v>
      </c>
      <c r="T27" s="4">
        <v>511.28399999999999</v>
      </c>
      <c r="U27" s="4">
        <v>501.346</v>
      </c>
      <c r="V27" s="4">
        <v>487.87799999999999</v>
      </c>
      <c r="W27" s="4">
        <v>567.41099999999994</v>
      </c>
      <c r="X27" s="4">
        <v>758.05</v>
      </c>
      <c r="Y27" s="4">
        <v>943.34500000000003</v>
      </c>
      <c r="Z27" s="4">
        <v>1118.58</v>
      </c>
      <c r="AA27" s="4">
        <v>1418.4849999999999</v>
      </c>
      <c r="AB27" s="4">
        <v>1841.711</v>
      </c>
      <c r="AC27" s="4">
        <v>2416.0450000000001</v>
      </c>
      <c r="AD27" s="4">
        <v>3059.116</v>
      </c>
      <c r="AE27" s="4">
        <v>3525.9810000000002</v>
      </c>
      <c r="AF27" s="4">
        <v>3788.7130000000002</v>
      </c>
      <c r="AG27" s="4">
        <v>3386.3879999999999</v>
      </c>
      <c r="AH27" s="4">
        <v>3261.502</v>
      </c>
      <c r="AI27" s="4">
        <v>3695.1550000000002</v>
      </c>
      <c r="AJ27" s="4">
        <v>3845.538</v>
      </c>
      <c r="AK27" s="4">
        <v>3714.3029999999999</v>
      </c>
      <c r="AL27" s="4">
        <v>3590.3490000000002</v>
      </c>
      <c r="AM27" s="4">
        <v>3438.163</v>
      </c>
      <c r="AN27" s="4">
        <v>3456.6280000000002</v>
      </c>
      <c r="AO27" s="4">
        <v>3599.27</v>
      </c>
      <c r="AP27" s="4">
        <v>3802.2579999999998</v>
      </c>
      <c r="AQ27" s="4">
        <v>4012.2370000000001</v>
      </c>
      <c r="AR27" s="4">
        <v>4317.6450000000004</v>
      </c>
      <c r="AS27" s="4">
        <v>4703.2030000000004</v>
      </c>
      <c r="AT27" s="4">
        <v>5023.7479999999996</v>
      </c>
      <c r="AU27" s="4">
        <v>5157.2690000000002</v>
      </c>
      <c r="AV27" s="4">
        <v>4715.143</v>
      </c>
      <c r="AW27" s="4">
        <v>4596.0119999999997</v>
      </c>
    </row>
    <row r="28" spans="1:49" x14ac:dyDescent="0.35">
      <c r="A28" s="3" t="s">
        <v>93</v>
      </c>
      <c r="B28" s="3" t="s">
        <v>94</v>
      </c>
      <c r="C28" s="4">
        <v>279.18299999999999</v>
      </c>
      <c r="D28" s="4">
        <v>313.54899999999998</v>
      </c>
      <c r="E28" s="4">
        <v>345.36399999999998</v>
      </c>
      <c r="F28" s="4">
        <v>379.19499999999999</v>
      </c>
      <c r="G28" s="4">
        <v>395.10700000000003</v>
      </c>
      <c r="H28" s="4">
        <v>425.56099999999998</v>
      </c>
      <c r="I28" s="4">
        <v>424.46300000000002</v>
      </c>
      <c r="J28" s="4">
        <v>436.702</v>
      </c>
      <c r="K28" s="4">
        <v>465.04300000000001</v>
      </c>
      <c r="L28" s="4">
        <v>491.4</v>
      </c>
      <c r="M28" s="4">
        <v>553.42399999999998</v>
      </c>
      <c r="N28" s="4">
        <v>637.96699999999998</v>
      </c>
      <c r="O28" s="4">
        <v>697.74400000000003</v>
      </c>
      <c r="P28" s="4">
        <v>661.73800000000006</v>
      </c>
      <c r="Q28" s="4">
        <v>591.15099999999995</v>
      </c>
      <c r="R28" s="4">
        <v>548.81500000000005</v>
      </c>
      <c r="S28" s="4">
        <v>565.34500000000003</v>
      </c>
      <c r="T28" s="4">
        <v>511.28399999999999</v>
      </c>
      <c r="U28" s="4">
        <v>501.346</v>
      </c>
      <c r="V28" s="4">
        <v>487.87799999999999</v>
      </c>
      <c r="W28" s="4">
        <v>567.41099999999994</v>
      </c>
      <c r="X28" s="4">
        <v>758.05</v>
      </c>
      <c r="Y28" s="4">
        <v>943.34500000000003</v>
      </c>
      <c r="Z28" s="4">
        <v>1118.58</v>
      </c>
      <c r="AA28" s="4">
        <v>1418.4849999999999</v>
      </c>
      <c r="AB28" s="4">
        <v>1841.711</v>
      </c>
      <c r="AC28" s="4">
        <v>2416.0450000000001</v>
      </c>
      <c r="AD28" s="4">
        <v>3059.116</v>
      </c>
      <c r="AE28" s="4">
        <v>3525.9810000000002</v>
      </c>
      <c r="AF28" s="4">
        <v>3788.7130000000002</v>
      </c>
      <c r="AG28" s="4">
        <v>3386.3879999999999</v>
      </c>
      <c r="AH28" s="4">
        <v>3261.502</v>
      </c>
      <c r="AI28" s="4">
        <v>3695.1550000000002</v>
      </c>
      <c r="AJ28" s="4">
        <v>3845.538</v>
      </c>
      <c r="AK28" s="4">
        <v>3714.3029999999999</v>
      </c>
      <c r="AL28" s="4">
        <v>3590.3490000000002</v>
      </c>
      <c r="AM28" s="4">
        <v>3438.163</v>
      </c>
      <c r="AN28" s="4">
        <v>3456.6280000000002</v>
      </c>
      <c r="AO28" s="4">
        <v>3599.27</v>
      </c>
      <c r="AP28" s="4">
        <v>3802.2579999999998</v>
      </c>
      <c r="AQ28" s="4">
        <v>4012.2370000000001</v>
      </c>
      <c r="AR28" s="4">
        <v>4317.6450000000004</v>
      </c>
      <c r="AS28" s="4">
        <v>4703.2030000000004</v>
      </c>
      <c r="AT28" s="4">
        <v>5023.7479999999996</v>
      </c>
      <c r="AU28" s="4">
        <v>5157.2690000000002</v>
      </c>
      <c r="AV28" s="4">
        <v>4715.143</v>
      </c>
      <c r="AW28" s="4">
        <v>4596.0119999999997</v>
      </c>
    </row>
    <row r="29" spans="1:49" x14ac:dyDescent="0.35">
      <c r="A29" s="3" t="s">
        <v>95</v>
      </c>
      <c r="B29" s="3" t="s">
        <v>96</v>
      </c>
      <c r="C29" s="4">
        <v>128.63999999999999</v>
      </c>
      <c r="D29" s="4">
        <v>151.12700000000001</v>
      </c>
      <c r="E29" s="4">
        <v>175.61600000000001</v>
      </c>
      <c r="F29" s="4">
        <v>199.45400000000001</v>
      </c>
      <c r="G29" s="4">
        <v>207.61500000000001</v>
      </c>
      <c r="H29" s="4">
        <v>230.61199999999999</v>
      </c>
      <c r="I29" s="4">
        <v>229.59800000000001</v>
      </c>
      <c r="J29" s="4">
        <v>249.63200000000001</v>
      </c>
      <c r="K29" s="4">
        <v>281.16899999999998</v>
      </c>
      <c r="L29" s="4">
        <v>325.36500000000001</v>
      </c>
      <c r="M29" s="4">
        <v>397.40300000000002</v>
      </c>
      <c r="N29" s="4">
        <v>478.08100000000002</v>
      </c>
      <c r="O29" s="4">
        <v>518.86699999999996</v>
      </c>
      <c r="P29" s="4">
        <v>496.36099999999999</v>
      </c>
      <c r="Q29" s="4">
        <v>441.46899999999999</v>
      </c>
      <c r="R29" s="4">
        <v>409.91199999999998</v>
      </c>
      <c r="S29" s="4">
        <v>429.935</v>
      </c>
      <c r="T29" s="4">
        <v>388.36200000000002</v>
      </c>
      <c r="U29" s="4">
        <v>381.51299999999998</v>
      </c>
      <c r="V29" s="4">
        <v>371.815</v>
      </c>
      <c r="W29" s="4">
        <v>442.4</v>
      </c>
      <c r="X29" s="4">
        <v>614.149</v>
      </c>
      <c r="Y29" s="4">
        <v>779.89</v>
      </c>
      <c r="Z29" s="4">
        <v>940.17899999999997</v>
      </c>
      <c r="AA29" s="4">
        <v>1211.9739999999999</v>
      </c>
      <c r="AB29" s="4">
        <v>1599.404</v>
      </c>
      <c r="AC29" s="4">
        <v>2131.453</v>
      </c>
      <c r="AD29" s="4">
        <v>2730.241</v>
      </c>
      <c r="AE29" s="4">
        <v>3166.355</v>
      </c>
      <c r="AF29" s="4">
        <v>3406.4340000000002</v>
      </c>
      <c r="AG29" s="4">
        <v>3032.6930000000002</v>
      </c>
      <c r="AH29" s="4">
        <v>2927.326</v>
      </c>
      <c r="AI29" s="4">
        <v>3321.3710000000001</v>
      </c>
      <c r="AJ29" s="4">
        <v>3451.3589999999999</v>
      </c>
      <c r="AK29" s="4">
        <v>3325.2930000000001</v>
      </c>
      <c r="AL29" s="4">
        <v>3208.6880000000001</v>
      </c>
      <c r="AM29" s="4">
        <v>3061.7840000000001</v>
      </c>
      <c r="AN29" s="4">
        <v>3077.7359999999999</v>
      </c>
      <c r="AO29" s="4">
        <v>3199.1669999999999</v>
      </c>
      <c r="AP29" s="4">
        <v>3377.1410000000001</v>
      </c>
      <c r="AQ29" s="4">
        <v>3562.8910000000001</v>
      </c>
      <c r="AR29" s="4">
        <v>3811.7130000000002</v>
      </c>
      <c r="AS29" s="4">
        <v>4136.415</v>
      </c>
      <c r="AT29" s="4">
        <v>4409.3689999999997</v>
      </c>
      <c r="AU29" s="4">
        <v>4526.17</v>
      </c>
      <c r="AV29" s="4">
        <v>4125.3159999999998</v>
      </c>
      <c r="AW29" s="4">
        <v>3992.8049999999998</v>
      </c>
    </row>
    <row r="30" spans="1:49" x14ac:dyDescent="0.35">
      <c r="A30" s="3" t="s">
        <v>97</v>
      </c>
      <c r="B30" s="3" t="s">
        <v>98</v>
      </c>
      <c r="C30" s="4">
        <v>108.161</v>
      </c>
      <c r="D30" s="4">
        <v>113.866</v>
      </c>
      <c r="E30" s="4">
        <v>115.71899999999999</v>
      </c>
      <c r="F30" s="4">
        <v>121.744</v>
      </c>
      <c r="G30" s="4">
        <v>127.08</v>
      </c>
      <c r="H30" s="4">
        <v>131.072</v>
      </c>
      <c r="I30" s="4">
        <v>131.38399999999999</v>
      </c>
      <c r="J30" s="4">
        <v>126.04300000000001</v>
      </c>
      <c r="K30" s="4">
        <v>123.524</v>
      </c>
      <c r="L30" s="4">
        <v>110.95</v>
      </c>
      <c r="M30" s="4">
        <v>104.062</v>
      </c>
      <c r="N30" s="4">
        <v>104.239</v>
      </c>
      <c r="O30" s="4">
        <v>117.09399999999999</v>
      </c>
      <c r="P30" s="4">
        <v>108.667</v>
      </c>
      <c r="Q30" s="4">
        <v>98.266000000000005</v>
      </c>
      <c r="R30" s="4">
        <v>90.24</v>
      </c>
      <c r="S30" s="4">
        <v>87.626999999999995</v>
      </c>
      <c r="T30" s="4">
        <v>81.805999999999997</v>
      </c>
      <c r="U30" s="4">
        <v>79.182000000000002</v>
      </c>
      <c r="V30" s="4">
        <v>76.760000000000005</v>
      </c>
      <c r="W30" s="4">
        <v>80.286000000000001</v>
      </c>
      <c r="X30" s="4">
        <v>86.400999999999996</v>
      </c>
      <c r="Y30" s="4">
        <v>92.277000000000001</v>
      </c>
      <c r="Z30" s="4">
        <v>95.814999999999998</v>
      </c>
      <c r="AA30" s="4">
        <v>105.672</v>
      </c>
      <c r="AB30" s="4">
        <v>116.873</v>
      </c>
      <c r="AC30" s="4">
        <v>128.16499999999999</v>
      </c>
      <c r="AD30" s="4">
        <v>136.99799999999999</v>
      </c>
      <c r="AE30" s="4">
        <v>139.31800000000001</v>
      </c>
      <c r="AF30" s="4">
        <v>147.13499999999999</v>
      </c>
      <c r="AG30" s="4">
        <v>138.88</v>
      </c>
      <c r="AH30" s="4">
        <v>125.56</v>
      </c>
      <c r="AI30" s="4">
        <v>133.66399999999999</v>
      </c>
      <c r="AJ30" s="4">
        <v>140.57599999999999</v>
      </c>
      <c r="AK30" s="4">
        <v>139.727</v>
      </c>
      <c r="AL30" s="4">
        <v>140.12200000000001</v>
      </c>
      <c r="AM30" s="4">
        <v>136.85400000000001</v>
      </c>
      <c r="AN30" s="4">
        <v>136.03800000000001</v>
      </c>
      <c r="AO30" s="4">
        <v>140.30699999999999</v>
      </c>
      <c r="AP30" s="4">
        <v>144.18799999999999</v>
      </c>
      <c r="AQ30" s="4">
        <v>147.04499999999999</v>
      </c>
      <c r="AR30" s="4">
        <v>167.626</v>
      </c>
      <c r="AS30" s="4">
        <v>180.821</v>
      </c>
      <c r="AT30" s="4">
        <v>190.71100000000001</v>
      </c>
      <c r="AU30" s="4">
        <v>194.80799999999999</v>
      </c>
      <c r="AV30" s="4">
        <v>181.37100000000001</v>
      </c>
      <c r="AW30" s="4">
        <v>185.892</v>
      </c>
    </row>
    <row r="31" spans="1:49" x14ac:dyDescent="0.35">
      <c r="A31" s="3" t="s">
        <v>99</v>
      </c>
      <c r="B31" s="3" t="s">
        <v>100</v>
      </c>
    </row>
    <row r="32" spans="1:49" x14ac:dyDescent="0.35">
      <c r="A32" s="3" t="s">
        <v>101</v>
      </c>
      <c r="B32" s="3" t="s">
        <v>102</v>
      </c>
      <c r="C32" s="4">
        <v>42.381999999999998</v>
      </c>
      <c r="D32" s="4">
        <v>48.555999999999997</v>
      </c>
      <c r="E32" s="4">
        <v>54.029000000000003</v>
      </c>
      <c r="F32" s="4">
        <v>57.997</v>
      </c>
      <c r="G32" s="4">
        <v>60.411000000000001</v>
      </c>
      <c r="H32" s="4">
        <v>63.877000000000002</v>
      </c>
      <c r="I32" s="4">
        <v>63.481999999999999</v>
      </c>
      <c r="J32" s="4">
        <v>61.027000000000001</v>
      </c>
      <c r="K32" s="4">
        <v>60.35</v>
      </c>
      <c r="L32" s="4">
        <v>55.085000000000001</v>
      </c>
      <c r="M32" s="4">
        <v>51.96</v>
      </c>
      <c r="N32" s="4">
        <v>55.648000000000003</v>
      </c>
      <c r="O32" s="4">
        <v>61.783000000000001</v>
      </c>
      <c r="P32" s="4">
        <v>56.71</v>
      </c>
      <c r="Q32" s="4">
        <v>51.417000000000002</v>
      </c>
      <c r="R32" s="4">
        <v>48.664000000000001</v>
      </c>
      <c r="S32" s="4">
        <v>47.781999999999996</v>
      </c>
      <c r="T32" s="4">
        <v>41.116</v>
      </c>
      <c r="U32" s="4">
        <v>40.651000000000003</v>
      </c>
      <c r="V32" s="4">
        <v>39.304000000000002</v>
      </c>
      <c r="W32" s="4">
        <v>44.725999999999999</v>
      </c>
      <c r="X32" s="4">
        <v>57.500999999999998</v>
      </c>
      <c r="Y32" s="4">
        <v>71.177999999999997</v>
      </c>
      <c r="Z32" s="4">
        <v>82.587000000000003</v>
      </c>
      <c r="AA32" s="4">
        <v>100.84</v>
      </c>
      <c r="AB32" s="4">
        <v>125.435</v>
      </c>
      <c r="AC32" s="4">
        <v>156.42699999999999</v>
      </c>
      <c r="AD32" s="4">
        <v>191.87700000000001</v>
      </c>
      <c r="AE32" s="4">
        <v>220.30799999999999</v>
      </c>
      <c r="AF32" s="4">
        <v>235.14500000000001</v>
      </c>
      <c r="AG32" s="4">
        <v>214.81399999999999</v>
      </c>
      <c r="AH32" s="4">
        <v>208.61600000000001</v>
      </c>
      <c r="AI32" s="4">
        <v>240.119</v>
      </c>
      <c r="AJ32" s="4">
        <v>253.60300000000001</v>
      </c>
      <c r="AK32" s="4">
        <v>249.28299999999999</v>
      </c>
      <c r="AL32" s="4">
        <v>241.53899999999999</v>
      </c>
      <c r="AM32" s="4">
        <v>239.52500000000001</v>
      </c>
      <c r="AN32" s="4">
        <v>242.85400000000001</v>
      </c>
      <c r="AO32" s="4">
        <v>259.79700000000003</v>
      </c>
      <c r="AP32" s="4">
        <v>280.93</v>
      </c>
      <c r="AQ32" s="4">
        <v>302.30200000000002</v>
      </c>
      <c r="AR32" s="4">
        <v>338.30599999999998</v>
      </c>
      <c r="AS32" s="4">
        <v>385.96800000000002</v>
      </c>
      <c r="AT32" s="4">
        <v>423.66800000000001</v>
      </c>
      <c r="AU32" s="4">
        <v>436.29199999999997</v>
      </c>
      <c r="AV32" s="4">
        <v>408.45699999999999</v>
      </c>
      <c r="AW32" s="4">
        <v>417.31599999999997</v>
      </c>
    </row>
    <row r="33" spans="1:51" x14ac:dyDescent="0.35">
      <c r="A33" s="3" t="s">
        <v>103</v>
      </c>
      <c r="B33" s="3" t="s">
        <v>104</v>
      </c>
    </row>
    <row r="34" spans="1:51" x14ac:dyDescent="0.35">
      <c r="A34" s="3" t="s">
        <v>105</v>
      </c>
      <c r="B34" s="3" t="s">
        <v>106</v>
      </c>
    </row>
    <row r="35" spans="1:51" x14ac:dyDescent="0.35">
      <c r="A35" s="3" t="s">
        <v>107</v>
      </c>
      <c r="B35" s="3" t="s">
        <v>108</v>
      </c>
    </row>
    <row r="36" spans="1:51" x14ac:dyDescent="0.35">
      <c r="A36" s="3" t="s">
        <v>109</v>
      </c>
      <c r="B36" s="3" t="s">
        <v>110</v>
      </c>
      <c r="C36" s="4">
        <v>13.065</v>
      </c>
      <c r="D36" s="4">
        <v>14.577999999999999</v>
      </c>
      <c r="E36" s="4">
        <v>16.158999999999999</v>
      </c>
      <c r="F36" s="4">
        <v>17.68</v>
      </c>
      <c r="G36" s="4">
        <v>19.056999999999999</v>
      </c>
      <c r="H36" s="4">
        <v>20.236999999999998</v>
      </c>
      <c r="I36" s="4">
        <v>21.116</v>
      </c>
      <c r="J36" s="4">
        <v>21.756</v>
      </c>
      <c r="K36" s="4">
        <v>22.213000000000001</v>
      </c>
      <c r="L36" s="4">
        <v>22.629000000000001</v>
      </c>
      <c r="M36" s="4">
        <v>23.577999999999999</v>
      </c>
      <c r="N36" s="4">
        <v>24.93</v>
      </c>
      <c r="O36" s="4">
        <v>25.468</v>
      </c>
      <c r="P36" s="4">
        <v>25.08</v>
      </c>
      <c r="Q36" s="4">
        <v>24.401</v>
      </c>
      <c r="R36" s="4">
        <v>23.884</v>
      </c>
      <c r="S36" s="4">
        <v>24.036999999999999</v>
      </c>
      <c r="T36" s="4">
        <v>24.494</v>
      </c>
      <c r="U36" s="4">
        <v>24.838000000000001</v>
      </c>
      <c r="V36" s="4">
        <v>25.189</v>
      </c>
      <c r="W36" s="4">
        <v>25.61</v>
      </c>
      <c r="X36" s="4">
        <v>26.123999999999999</v>
      </c>
      <c r="Y36" s="4">
        <v>26.698</v>
      </c>
      <c r="Z36" s="4">
        <v>27.305</v>
      </c>
      <c r="AA36" s="4">
        <v>28.619</v>
      </c>
      <c r="AB36" s="4">
        <v>29.396999999999998</v>
      </c>
      <c r="AC36" s="4">
        <v>31.01</v>
      </c>
      <c r="AD36" s="4">
        <v>30.437000000000001</v>
      </c>
      <c r="AE36" s="4">
        <v>20.521999999999998</v>
      </c>
      <c r="AF36" s="4">
        <v>20.533000000000001</v>
      </c>
      <c r="AG36" s="4">
        <v>19.018999999999998</v>
      </c>
      <c r="AH36" s="4">
        <v>17.629000000000001</v>
      </c>
      <c r="AI36" s="4">
        <v>16.363</v>
      </c>
      <c r="AJ36" s="4">
        <v>15.199</v>
      </c>
      <c r="AK36" s="4">
        <v>14.907</v>
      </c>
      <c r="AL36" s="4">
        <v>14.627000000000001</v>
      </c>
      <c r="AM36" s="4">
        <v>14.907</v>
      </c>
      <c r="AN36" s="4">
        <v>13.93</v>
      </c>
      <c r="AO36" s="4">
        <v>13.346</v>
      </c>
      <c r="AP36" s="4">
        <v>12.795</v>
      </c>
      <c r="AQ36" s="4">
        <v>12.085000000000001</v>
      </c>
      <c r="AR36" s="4">
        <v>11.695</v>
      </c>
      <c r="AS36" s="4">
        <v>11.266</v>
      </c>
      <c r="AT36" s="4">
        <v>11.045</v>
      </c>
      <c r="AU36" s="4">
        <v>10.629</v>
      </c>
      <c r="AV36" s="4">
        <v>10.282999999999999</v>
      </c>
      <c r="AW36" s="4">
        <v>9.9480000000000004</v>
      </c>
    </row>
    <row r="37" spans="1:51" x14ac:dyDescent="0.35">
      <c r="B37" s="2" t="s">
        <v>48</v>
      </c>
    </row>
    <row r="38" spans="1:51" x14ac:dyDescent="0.35">
      <c r="A38" s="3" t="s">
        <v>111</v>
      </c>
      <c r="B38" s="3" t="s">
        <v>112</v>
      </c>
      <c r="T38" s="4">
        <v>1898.5909999999999</v>
      </c>
      <c r="U38" s="4">
        <v>2035.09</v>
      </c>
      <c r="V38" s="4">
        <v>2180.1329999999998</v>
      </c>
      <c r="W38" s="4">
        <v>2323.3319999999999</v>
      </c>
      <c r="X38" s="4">
        <v>2620.0630000000001</v>
      </c>
      <c r="Y38" s="4">
        <v>2710.4459999999999</v>
      </c>
      <c r="Z38" s="4">
        <v>2643.19</v>
      </c>
      <c r="AA38" s="4">
        <v>2658.6619999999998</v>
      </c>
      <c r="AB38" s="4">
        <v>2841.549</v>
      </c>
      <c r="AC38" s="4">
        <v>3006.1529999999998</v>
      </c>
      <c r="AD38" s="4">
        <v>3241.6889999999999</v>
      </c>
      <c r="AE38" s="4">
        <v>3612.9110000000001</v>
      </c>
      <c r="AF38" s="4">
        <v>3819.0320000000002</v>
      </c>
      <c r="AG38" s="4">
        <v>3544.7669999999998</v>
      </c>
      <c r="AH38" s="4">
        <v>3816.7269999999999</v>
      </c>
      <c r="AI38" s="4">
        <v>4077.8629999999998</v>
      </c>
      <c r="AJ38" s="4">
        <v>4117.6970000000001</v>
      </c>
      <c r="AK38" s="4">
        <v>4278.9380000000001</v>
      </c>
      <c r="AL38" s="4">
        <v>4463.7659999999996</v>
      </c>
      <c r="AM38" s="4">
        <v>4663.6049999999996</v>
      </c>
      <c r="AN38" s="4">
        <v>4888.71</v>
      </c>
      <c r="AO38" s="4">
        <v>5228.665</v>
      </c>
      <c r="AP38" s="4">
        <v>5469.4279999999999</v>
      </c>
      <c r="AQ38" s="4">
        <v>5428.4459999999999</v>
      </c>
      <c r="AR38" s="4">
        <v>5926.6980000000003</v>
      </c>
      <c r="AS38" s="4">
        <v>6223.3519999999999</v>
      </c>
      <c r="AT38" s="4">
        <v>6728.7110000000002</v>
      </c>
      <c r="AU38" s="4">
        <v>6393.79</v>
      </c>
      <c r="AV38" s="4">
        <v>6806.9040000000005</v>
      </c>
      <c r="AW38" s="4">
        <v>6977.1559999999999</v>
      </c>
      <c r="AY38">
        <f>(AW38-AT38)/AT38*100</f>
        <v>3.6923119450367192</v>
      </c>
    </row>
    <row r="39" spans="1:51" x14ac:dyDescent="0.35">
      <c r="A39" s="3" t="s">
        <v>113</v>
      </c>
      <c r="B39" s="3" t="s">
        <v>114</v>
      </c>
    </row>
    <row r="40" spans="1:51" x14ac:dyDescent="0.35">
      <c r="A40" s="3" t="s">
        <v>115</v>
      </c>
      <c r="B40" s="3" t="s">
        <v>116</v>
      </c>
      <c r="T40" s="4">
        <v>645.42100000000005</v>
      </c>
      <c r="U40" s="4">
        <v>676.70399999999995</v>
      </c>
      <c r="V40" s="4">
        <v>717.74599999999998</v>
      </c>
      <c r="W40" s="4">
        <v>749.68</v>
      </c>
      <c r="X40" s="4">
        <v>780.74</v>
      </c>
      <c r="Y40" s="4">
        <v>772.51900000000001</v>
      </c>
      <c r="Z40" s="4">
        <v>791.21900000000005</v>
      </c>
      <c r="AA40" s="4">
        <v>839.87800000000004</v>
      </c>
      <c r="AB40" s="4">
        <v>878.69899999999996</v>
      </c>
      <c r="AC40" s="4">
        <v>914.625</v>
      </c>
      <c r="AD40" s="4">
        <v>953.74699999999996</v>
      </c>
      <c r="AE40" s="4">
        <v>973.28700000000003</v>
      </c>
      <c r="AF40" s="4">
        <v>1014.523</v>
      </c>
      <c r="AG40" s="4">
        <v>1056.0509999999999</v>
      </c>
      <c r="AH40" s="4">
        <v>1077.8320000000001</v>
      </c>
      <c r="AI40" s="4">
        <v>1110.547</v>
      </c>
      <c r="AJ40" s="4">
        <v>1166.9829999999999</v>
      </c>
      <c r="AK40" s="4">
        <v>1213.712</v>
      </c>
      <c r="AL40" s="4">
        <v>1246.982</v>
      </c>
      <c r="AM40" s="4">
        <v>1263.943</v>
      </c>
      <c r="AN40" s="4">
        <v>1307.1569999999999</v>
      </c>
      <c r="AO40" s="4">
        <v>1364.229</v>
      </c>
      <c r="AP40" s="4">
        <v>1423</v>
      </c>
      <c r="AQ40" s="4">
        <v>1492.0540000000001</v>
      </c>
      <c r="AR40" s="4">
        <v>1574.2270000000001</v>
      </c>
      <c r="AS40" s="4">
        <v>1728.925</v>
      </c>
      <c r="AT40" s="4">
        <v>1843.0630000000001</v>
      </c>
      <c r="AU40" s="4">
        <v>1930.4079999999999</v>
      </c>
      <c r="AV40" s="4">
        <v>1982.019</v>
      </c>
      <c r="AW40" s="4">
        <v>2012.3209999999999</v>
      </c>
      <c r="AY40">
        <f>(AW40-AT40)/AT40*100</f>
        <v>9.1835167870007588</v>
      </c>
    </row>
    <row r="41" spans="1:51" x14ac:dyDescent="0.35">
      <c r="A41" s="3" t="s">
        <v>117</v>
      </c>
      <c r="B41" s="3" t="s">
        <v>118</v>
      </c>
      <c r="T41" s="4">
        <v>109.351</v>
      </c>
      <c r="U41" s="4">
        <v>101.379</v>
      </c>
      <c r="V41" s="4">
        <v>88.385999999999996</v>
      </c>
      <c r="W41" s="4">
        <v>87.656999999999996</v>
      </c>
      <c r="X41" s="4">
        <v>74.113</v>
      </c>
      <c r="Y41" s="4">
        <v>90.525999999999996</v>
      </c>
      <c r="Z41" s="4">
        <v>95.263000000000005</v>
      </c>
      <c r="AA41" s="4">
        <v>82.623000000000005</v>
      </c>
      <c r="AB41" s="4">
        <v>70.709000000000003</v>
      </c>
      <c r="AC41" s="4">
        <v>68.41</v>
      </c>
      <c r="AD41" s="4">
        <v>69.147999999999996</v>
      </c>
      <c r="AE41" s="4">
        <v>63.982999999999997</v>
      </c>
      <c r="AF41" s="4">
        <v>68.046000000000006</v>
      </c>
      <c r="AG41" s="4">
        <v>71.658000000000001</v>
      </c>
      <c r="AH41" s="4">
        <v>83.423000000000002</v>
      </c>
      <c r="AI41" s="4">
        <v>76.492999999999995</v>
      </c>
      <c r="AJ41" s="4">
        <v>75.685000000000002</v>
      </c>
      <c r="AK41" s="4">
        <v>83.962000000000003</v>
      </c>
      <c r="AL41" s="4">
        <v>83.097999999999999</v>
      </c>
      <c r="AM41" s="4">
        <v>72.427999999999997</v>
      </c>
      <c r="AN41" s="4">
        <v>59.988999999999997</v>
      </c>
      <c r="AO41" s="4">
        <v>54.308</v>
      </c>
      <c r="AP41" s="4">
        <v>47.334000000000003</v>
      </c>
      <c r="AQ41" s="4">
        <v>40.725999999999999</v>
      </c>
      <c r="AR41" s="4">
        <v>39.341000000000001</v>
      </c>
      <c r="AS41" s="4">
        <v>34.369</v>
      </c>
      <c r="AT41" s="4">
        <v>32.950000000000003</v>
      </c>
      <c r="AU41" s="4">
        <v>34.652999999999999</v>
      </c>
      <c r="AV41" s="4">
        <v>45.438000000000002</v>
      </c>
      <c r="AW41" s="4">
        <v>50.207999999999998</v>
      </c>
    </row>
    <row r="42" spans="1:51" x14ac:dyDescent="0.35">
      <c r="A42" s="3" t="s">
        <v>119</v>
      </c>
      <c r="B42" s="3" t="s">
        <v>120</v>
      </c>
      <c r="T42" s="4">
        <v>26.59</v>
      </c>
      <c r="U42" s="4">
        <v>26.831</v>
      </c>
      <c r="V42" s="4">
        <v>33.973999999999997</v>
      </c>
      <c r="W42" s="4">
        <v>24.579000000000001</v>
      </c>
      <c r="X42" s="4">
        <v>19.178000000000001</v>
      </c>
      <c r="Y42" s="4">
        <v>20.765000000000001</v>
      </c>
      <c r="Z42" s="4">
        <v>20.454999999999998</v>
      </c>
      <c r="AA42" s="4">
        <v>18.914999999999999</v>
      </c>
      <c r="AB42" s="4">
        <v>21.234999999999999</v>
      </c>
      <c r="AC42" s="4">
        <v>19.503</v>
      </c>
      <c r="AD42" s="4">
        <v>20.143999999999998</v>
      </c>
      <c r="AE42" s="4">
        <v>23.292000000000002</v>
      </c>
      <c r="AF42" s="4">
        <v>22.85</v>
      </c>
      <c r="AG42" s="4">
        <v>32.323999999999998</v>
      </c>
      <c r="AH42" s="4">
        <v>25.821999999999999</v>
      </c>
      <c r="AI42" s="4">
        <v>26.49</v>
      </c>
      <c r="AJ42" s="4">
        <v>27.78</v>
      </c>
      <c r="AK42" s="4">
        <v>28.603999999999999</v>
      </c>
      <c r="AL42" s="4">
        <v>29.361999999999998</v>
      </c>
      <c r="AM42" s="4">
        <v>30.391999999999999</v>
      </c>
      <c r="AN42" s="4">
        <v>31.413</v>
      </c>
      <c r="AO42" s="4">
        <v>10.238</v>
      </c>
      <c r="AP42" s="4">
        <v>10.531000000000001</v>
      </c>
      <c r="AQ42" s="4">
        <v>10.638</v>
      </c>
      <c r="AR42" s="4">
        <v>10.6</v>
      </c>
      <c r="AS42" s="4">
        <v>11.005000000000001</v>
      </c>
      <c r="AT42" s="4">
        <v>11.006</v>
      </c>
      <c r="AU42" s="4">
        <v>10.862</v>
      </c>
      <c r="AV42" s="4">
        <v>11.656000000000001</v>
      </c>
      <c r="AW42" s="4">
        <v>11.289</v>
      </c>
    </row>
    <row r="43" spans="1:51" x14ac:dyDescent="0.35">
      <c r="A43" s="3" t="s">
        <v>121</v>
      </c>
      <c r="B43" s="3" t="s">
        <v>122</v>
      </c>
      <c r="T43" s="4">
        <v>657.74699999999996</v>
      </c>
      <c r="U43" s="4">
        <v>703.68600000000004</v>
      </c>
      <c r="V43" s="4">
        <v>733.31299999999999</v>
      </c>
      <c r="W43" s="4">
        <v>797.53899999999999</v>
      </c>
      <c r="X43" s="4">
        <v>976.44600000000003</v>
      </c>
      <c r="Y43" s="4">
        <v>982.23099999999999</v>
      </c>
      <c r="Z43" s="4">
        <v>844.94200000000001</v>
      </c>
      <c r="AA43" s="4">
        <v>774.89599999999996</v>
      </c>
      <c r="AB43" s="4">
        <v>858.67100000000005</v>
      </c>
      <c r="AC43" s="4">
        <v>921.23500000000001</v>
      </c>
      <c r="AD43" s="4">
        <v>995.60699999999997</v>
      </c>
      <c r="AE43" s="4">
        <v>1197.463</v>
      </c>
      <c r="AF43" s="4">
        <v>1239.8989999999999</v>
      </c>
      <c r="AG43" s="4">
        <v>887.27800000000002</v>
      </c>
      <c r="AH43" s="4">
        <v>964.38400000000001</v>
      </c>
      <c r="AI43" s="4">
        <v>1028.548</v>
      </c>
      <c r="AJ43" s="4">
        <v>963.72500000000002</v>
      </c>
      <c r="AK43" s="4">
        <v>1076.394</v>
      </c>
      <c r="AL43" s="4">
        <v>1132.675</v>
      </c>
      <c r="AM43" s="4">
        <v>1214.9449999999999</v>
      </c>
      <c r="AN43" s="4">
        <v>1329.665</v>
      </c>
      <c r="AO43" s="4">
        <v>1398.1759999999999</v>
      </c>
      <c r="AP43" s="4">
        <v>1534.7719999999999</v>
      </c>
      <c r="AQ43" s="4">
        <v>1447.9469999999999</v>
      </c>
      <c r="AR43" s="4">
        <v>1658.202</v>
      </c>
      <c r="AS43" s="4">
        <v>1711.723</v>
      </c>
      <c r="AT43" s="4">
        <v>2036.19</v>
      </c>
      <c r="AU43" s="4">
        <v>1886.6890000000001</v>
      </c>
      <c r="AV43" s="4">
        <v>2106.6289999999999</v>
      </c>
      <c r="AW43" s="4">
        <v>2136.8589999999999</v>
      </c>
      <c r="AY43">
        <f>(AW43-AT43)/AT43*100</f>
        <v>4.943988527593195</v>
      </c>
    </row>
    <row r="44" spans="1:51" x14ac:dyDescent="0.35">
      <c r="A44" s="3" t="s">
        <v>123</v>
      </c>
      <c r="B44" s="3" t="s">
        <v>124</v>
      </c>
      <c r="T44" s="4">
        <v>94.075999999999993</v>
      </c>
      <c r="U44" s="4">
        <v>111.575</v>
      </c>
      <c r="V44" s="4">
        <v>117.566</v>
      </c>
      <c r="W44" s="4">
        <v>146.79599999999999</v>
      </c>
      <c r="X44" s="4">
        <v>180.56399999999999</v>
      </c>
      <c r="Y44" s="4">
        <v>196.99</v>
      </c>
      <c r="Z44" s="4">
        <v>157.18</v>
      </c>
      <c r="AA44" s="4">
        <v>110.997</v>
      </c>
      <c r="AB44" s="4">
        <v>130.292</v>
      </c>
      <c r="AC44" s="4">
        <v>138.89099999999999</v>
      </c>
      <c r="AD44" s="4">
        <v>180.702</v>
      </c>
      <c r="AE44" s="4">
        <v>211.958</v>
      </c>
      <c r="AF44" s="4">
        <v>204.23699999999999</v>
      </c>
      <c r="AG44" s="4">
        <v>110.667</v>
      </c>
      <c r="AH44" s="4">
        <v>141.99199999999999</v>
      </c>
      <c r="AI44" s="4">
        <v>161.55199999999999</v>
      </c>
      <c r="AJ44" s="4">
        <v>132.48400000000001</v>
      </c>
      <c r="AK44" s="4">
        <v>150.733</v>
      </c>
      <c r="AL44" s="4">
        <v>175.62299999999999</v>
      </c>
      <c r="AM44" s="4">
        <v>184.09100000000001</v>
      </c>
      <c r="AN44" s="4">
        <v>212.715</v>
      </c>
      <c r="AO44" s="4">
        <v>217.49299999999999</v>
      </c>
      <c r="AP44" s="4">
        <v>240.00700000000001</v>
      </c>
      <c r="AQ44" s="4">
        <v>215.191</v>
      </c>
      <c r="AR44" s="4">
        <v>265.46300000000002</v>
      </c>
      <c r="AS44" s="4">
        <v>274.71300000000002</v>
      </c>
      <c r="AT44" s="4">
        <v>329.96</v>
      </c>
      <c r="AU44" s="4">
        <v>286.35500000000002</v>
      </c>
      <c r="AV44" s="4">
        <v>321.65100000000001</v>
      </c>
      <c r="AW44" s="4">
        <v>317.69499999999999</v>
      </c>
    </row>
    <row r="45" spans="1:51" x14ac:dyDescent="0.35">
      <c r="A45" s="3" t="s">
        <v>125</v>
      </c>
      <c r="B45" s="3" t="s">
        <v>126</v>
      </c>
      <c r="T45" s="4">
        <v>378.76400000000001</v>
      </c>
      <c r="U45" s="4">
        <v>442.279</v>
      </c>
      <c r="V45" s="4">
        <v>517.24599999999998</v>
      </c>
      <c r="W45" s="4">
        <v>574.40300000000002</v>
      </c>
      <c r="X45" s="4">
        <v>650.14</v>
      </c>
      <c r="Y45" s="4">
        <v>711.37199999999996</v>
      </c>
      <c r="Z45" s="4">
        <v>756.78300000000002</v>
      </c>
      <c r="AA45" s="4">
        <v>790.36900000000003</v>
      </c>
      <c r="AB45" s="4">
        <v>856.29100000000005</v>
      </c>
      <c r="AC45" s="4">
        <v>945.31399999999996</v>
      </c>
      <c r="AD45" s="4">
        <v>1051.26</v>
      </c>
      <c r="AE45" s="4">
        <v>1200.3820000000001</v>
      </c>
      <c r="AF45" s="4">
        <v>1296.2539999999999</v>
      </c>
      <c r="AG45" s="4">
        <v>1299.29</v>
      </c>
      <c r="AH45" s="4">
        <v>1407.4369999999999</v>
      </c>
      <c r="AI45" s="4">
        <v>1511.2170000000001</v>
      </c>
      <c r="AJ45" s="4">
        <v>1534.6</v>
      </c>
      <c r="AK45" s="4">
        <v>1587.97</v>
      </c>
      <c r="AL45" s="4">
        <v>1654.3969999999999</v>
      </c>
      <c r="AM45" s="4">
        <v>1733.12</v>
      </c>
      <c r="AN45" s="4">
        <v>1798.915</v>
      </c>
      <c r="AO45" s="4">
        <v>2022.2190000000001</v>
      </c>
      <c r="AP45" s="4">
        <v>2058.1179999999999</v>
      </c>
      <c r="AQ45" s="4">
        <v>2030.94</v>
      </c>
      <c r="AR45" s="4">
        <v>2208.7080000000001</v>
      </c>
      <c r="AS45" s="4">
        <v>2269.3409999999999</v>
      </c>
      <c r="AT45" s="4">
        <v>2302.8029999999999</v>
      </c>
      <c r="AU45" s="4">
        <v>2011.4670000000001</v>
      </c>
      <c r="AV45" s="4">
        <v>2113.422</v>
      </c>
      <c r="AW45" s="4">
        <v>2195.3939999999998</v>
      </c>
      <c r="AY45">
        <f>(AW45-AT45)/AT45*100</f>
        <v>-4.6642721934963651</v>
      </c>
    </row>
    <row r="46" spans="1:51" x14ac:dyDescent="0.35">
      <c r="A46" s="3" t="s">
        <v>127</v>
      </c>
      <c r="B46" s="3" t="s">
        <v>128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4.0000000000000001E-3</v>
      </c>
      <c r="AN46" s="4">
        <v>4.0000000000000001E-3</v>
      </c>
      <c r="AO46" s="4">
        <v>3.7999999999999999E-2</v>
      </c>
      <c r="AP46" s="4">
        <v>3.5999999999999997E-2</v>
      </c>
      <c r="AQ46" s="4">
        <v>0.13</v>
      </c>
      <c r="AR46" s="4">
        <v>0.187</v>
      </c>
      <c r="AS46" s="4">
        <v>0.29199999999999998</v>
      </c>
      <c r="AT46" s="4">
        <v>0.31900000000000001</v>
      </c>
      <c r="AU46" s="4">
        <v>0.29599999999999999</v>
      </c>
      <c r="AV46" s="4">
        <v>0.13800000000000001</v>
      </c>
      <c r="AW46" s="4">
        <v>0.06</v>
      </c>
    </row>
    <row r="47" spans="1:51" x14ac:dyDescent="0.35">
      <c r="A47" s="3" t="s">
        <v>129</v>
      </c>
      <c r="B47" s="3" t="s">
        <v>130</v>
      </c>
      <c r="T47" s="4">
        <v>80.718999999999994</v>
      </c>
      <c r="U47" s="4">
        <v>84.210999999999999</v>
      </c>
      <c r="V47" s="4">
        <v>89.468000000000004</v>
      </c>
      <c r="W47" s="4">
        <v>89.474000000000004</v>
      </c>
      <c r="X47" s="4">
        <v>119.44499999999999</v>
      </c>
      <c r="Y47" s="4">
        <v>133.035</v>
      </c>
      <c r="Z47" s="4">
        <v>134.529</v>
      </c>
      <c r="AA47" s="4">
        <v>151.97999999999999</v>
      </c>
      <c r="AB47" s="4">
        <v>155.946</v>
      </c>
      <c r="AC47" s="4">
        <v>137.066</v>
      </c>
      <c r="AD47" s="4">
        <v>151.78399999999999</v>
      </c>
      <c r="AE47" s="4">
        <v>154.505</v>
      </c>
      <c r="AF47" s="4">
        <v>177.46</v>
      </c>
      <c r="AG47" s="4">
        <v>198.166</v>
      </c>
      <c r="AH47" s="4">
        <v>257.82900000000001</v>
      </c>
      <c r="AI47" s="4">
        <v>324.56700000000001</v>
      </c>
      <c r="AJ47" s="4">
        <v>348.92399999999998</v>
      </c>
      <c r="AK47" s="4">
        <v>288.29599999999999</v>
      </c>
      <c r="AL47" s="4">
        <v>317.25099999999998</v>
      </c>
      <c r="AM47" s="4">
        <v>348.77300000000002</v>
      </c>
      <c r="AN47" s="4">
        <v>361.56700000000001</v>
      </c>
      <c r="AO47" s="4">
        <v>379.45800000000003</v>
      </c>
      <c r="AP47" s="4">
        <v>395.637</v>
      </c>
      <c r="AQ47" s="4">
        <v>406.01100000000002</v>
      </c>
      <c r="AR47" s="4">
        <v>435.43200000000002</v>
      </c>
      <c r="AS47" s="4">
        <v>467.697</v>
      </c>
      <c r="AT47" s="4">
        <v>502.38</v>
      </c>
      <c r="AU47" s="4">
        <v>519.41700000000003</v>
      </c>
      <c r="AV47" s="4">
        <v>547.6</v>
      </c>
      <c r="AW47" s="4">
        <v>571.02599999999995</v>
      </c>
    </row>
    <row r="48" spans="1:51" x14ac:dyDescent="0.35">
      <c r="B48" s="2" t="s">
        <v>48</v>
      </c>
    </row>
    <row r="49" spans="1:49" x14ac:dyDescent="0.35">
      <c r="A49" s="3" t="s">
        <v>131</v>
      </c>
      <c r="B49" s="3" t="s">
        <v>132</v>
      </c>
      <c r="T49" s="4">
        <v>4080.46</v>
      </c>
      <c r="U49" s="4">
        <v>4265.7749999999996</v>
      </c>
      <c r="V49" s="4">
        <v>4451.1319999999996</v>
      </c>
      <c r="W49" s="4">
        <v>4723.7309999999998</v>
      </c>
      <c r="X49" s="4">
        <v>5275.4030000000002</v>
      </c>
      <c r="Y49" s="4">
        <v>5640.09</v>
      </c>
      <c r="Z49" s="4">
        <v>5858.8059999999996</v>
      </c>
      <c r="AA49" s="4">
        <v>6282.3919999999998</v>
      </c>
      <c r="AB49" s="4">
        <v>7012.3249999999998</v>
      </c>
      <c r="AC49" s="4">
        <v>7903.9269999999997</v>
      </c>
      <c r="AD49" s="4">
        <v>8942.4470000000001</v>
      </c>
      <c r="AE49" s="4">
        <v>9941.1939999999995</v>
      </c>
      <c r="AF49" s="4">
        <v>10588.258</v>
      </c>
      <c r="AG49" s="4">
        <v>10033.819</v>
      </c>
      <c r="AH49" s="4">
        <v>10261.867</v>
      </c>
      <c r="AI49" s="4">
        <v>11090.761</v>
      </c>
      <c r="AJ49" s="4">
        <v>11403.986000000001</v>
      </c>
      <c r="AK49" s="4">
        <v>11509.824000000001</v>
      </c>
      <c r="AL49" s="4">
        <v>11649.425999999999</v>
      </c>
      <c r="AM49" s="4">
        <v>11769.966</v>
      </c>
      <c r="AN49" s="4">
        <v>12056.421</v>
      </c>
      <c r="AO49" s="4">
        <v>12625.638000000001</v>
      </c>
      <c r="AP49" s="4">
        <v>13194.813</v>
      </c>
      <c r="AQ49" s="4">
        <v>13488.12</v>
      </c>
      <c r="AR49" s="4">
        <v>14402.514999999999</v>
      </c>
      <c r="AS49" s="4">
        <v>15251.393</v>
      </c>
      <c r="AT49" s="4">
        <v>16465.048999999999</v>
      </c>
      <c r="AU49" s="4">
        <v>16628.813999999998</v>
      </c>
      <c r="AV49" s="4">
        <v>16738.395</v>
      </c>
      <c r="AW49" s="4">
        <v>16844.934000000001</v>
      </c>
    </row>
    <row r="50" spans="1:49" x14ac:dyDescent="0.35">
      <c r="B50" s="2" t="s">
        <v>48</v>
      </c>
    </row>
    <row r="51" spans="1:49" x14ac:dyDescent="0.35">
      <c r="B51" s="2" t="s">
        <v>48</v>
      </c>
    </row>
    <row r="52" spans="1:49" x14ac:dyDescent="0.35">
      <c r="A52" s="3" t="s">
        <v>111</v>
      </c>
      <c r="B52" s="3" t="s">
        <v>133</v>
      </c>
      <c r="T52" s="4">
        <v>516.78300000000002</v>
      </c>
      <c r="U52" s="4">
        <v>542.61599999999999</v>
      </c>
      <c r="V52" s="4">
        <v>577.15300000000002</v>
      </c>
      <c r="W52" s="4">
        <v>598.53800000000001</v>
      </c>
      <c r="X52" s="4">
        <v>644.73199999999997</v>
      </c>
      <c r="Y52" s="4">
        <v>668.51900000000001</v>
      </c>
      <c r="Z52" s="4">
        <v>711.26300000000003</v>
      </c>
      <c r="AA52" s="4">
        <v>770.375</v>
      </c>
      <c r="AB52" s="4">
        <v>823.35</v>
      </c>
      <c r="AC52" s="4">
        <v>859.46100000000001</v>
      </c>
      <c r="AD52" s="4">
        <v>956.50800000000004</v>
      </c>
      <c r="AE52" s="4">
        <v>1060.0329999999999</v>
      </c>
      <c r="AF52" s="4">
        <v>1171.8969999999999</v>
      </c>
      <c r="AG52" s="4">
        <v>1226.4369999999999</v>
      </c>
      <c r="AH52" s="4">
        <v>1317.183</v>
      </c>
      <c r="AI52" s="4">
        <v>1404.3440000000001</v>
      </c>
      <c r="AJ52" s="4">
        <v>1450.502</v>
      </c>
      <c r="AK52" s="4">
        <v>1419.8119999999999</v>
      </c>
      <c r="AL52" s="4">
        <v>1445.4949999999999</v>
      </c>
      <c r="AM52" s="4">
        <v>1478.924</v>
      </c>
      <c r="AN52" s="4">
        <v>1530.124</v>
      </c>
      <c r="AO52" s="4">
        <v>1576.75</v>
      </c>
      <c r="AP52" s="4">
        <v>1658.8019999999999</v>
      </c>
      <c r="AQ52" s="4">
        <v>1733.905</v>
      </c>
      <c r="AR52" s="4">
        <v>1797.0889999999999</v>
      </c>
      <c r="AS52" s="4">
        <v>1878.82</v>
      </c>
      <c r="AT52" s="4">
        <v>1968.3240000000001</v>
      </c>
      <c r="AU52" s="4">
        <v>2058.6770000000001</v>
      </c>
      <c r="AV52" s="4">
        <v>2086.3829999999998</v>
      </c>
      <c r="AW52" s="4">
        <v>2091.4169999999999</v>
      </c>
    </row>
    <row r="53" spans="1:49" x14ac:dyDescent="0.35">
      <c r="A53" s="3" t="s">
        <v>113</v>
      </c>
      <c r="B53" s="3" t="s">
        <v>114</v>
      </c>
    </row>
    <row r="54" spans="1:49" x14ac:dyDescent="0.35">
      <c r="A54" s="3" t="s">
        <v>115</v>
      </c>
      <c r="B54" s="3" t="s">
        <v>116</v>
      </c>
      <c r="T54" s="4">
        <v>0</v>
      </c>
      <c r="U54" s="4">
        <v>0</v>
      </c>
      <c r="V54" s="4">
        <v>0</v>
      </c>
      <c r="W54" s="4">
        <v>2E-3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</row>
    <row r="55" spans="1:49" x14ac:dyDescent="0.35">
      <c r="A55" s="3" t="s">
        <v>117</v>
      </c>
      <c r="B55" s="3" t="s">
        <v>118</v>
      </c>
    </row>
    <row r="56" spans="1:49" x14ac:dyDescent="0.35">
      <c r="A56" s="3" t="s">
        <v>119</v>
      </c>
      <c r="B56" s="3" t="s">
        <v>120</v>
      </c>
      <c r="T56" s="4">
        <v>410.65100000000001</v>
      </c>
      <c r="U56" s="4">
        <v>423.24</v>
      </c>
      <c r="V56" s="4">
        <v>439.79700000000003</v>
      </c>
      <c r="W56" s="4">
        <v>446.93200000000002</v>
      </c>
      <c r="X56" s="4">
        <v>476.06099999999998</v>
      </c>
      <c r="Y56" s="4">
        <v>505.45499999999998</v>
      </c>
      <c r="Z56" s="4">
        <v>531.67899999999997</v>
      </c>
      <c r="AA56" s="4">
        <v>561.66999999999996</v>
      </c>
      <c r="AB56" s="4">
        <v>600.38400000000001</v>
      </c>
      <c r="AC56" s="4">
        <v>655.77099999999996</v>
      </c>
      <c r="AD56" s="4">
        <v>730.99900000000002</v>
      </c>
      <c r="AE56" s="4">
        <v>812.59299999999996</v>
      </c>
      <c r="AF56" s="4">
        <v>901.22199999999998</v>
      </c>
      <c r="AG56" s="4">
        <v>968.74</v>
      </c>
      <c r="AH56" s="4">
        <v>1015.389</v>
      </c>
      <c r="AI56" s="4">
        <v>1066.8209999999999</v>
      </c>
      <c r="AJ56" s="4">
        <v>1124.2950000000001</v>
      </c>
      <c r="AK56" s="4">
        <v>1147.971</v>
      </c>
      <c r="AL56" s="4">
        <v>1169.634</v>
      </c>
      <c r="AM56" s="4">
        <v>1197.9280000000001</v>
      </c>
      <c r="AN56" s="4">
        <v>1233.4259999999999</v>
      </c>
      <c r="AO56" s="4">
        <v>1277.98</v>
      </c>
      <c r="AP56" s="4">
        <v>1342.0239999999999</v>
      </c>
      <c r="AQ56" s="4">
        <v>1414.0809999999999</v>
      </c>
      <c r="AR56" s="4">
        <v>1496.558</v>
      </c>
      <c r="AS56" s="4">
        <v>1559.7739999999999</v>
      </c>
      <c r="AT56" s="4">
        <v>1645.5550000000001</v>
      </c>
      <c r="AU56" s="4">
        <v>1728.037</v>
      </c>
      <c r="AV56" s="4">
        <v>1747.7650000000001</v>
      </c>
      <c r="AW56" s="4">
        <v>1748.5619999999999</v>
      </c>
    </row>
    <row r="57" spans="1:49" x14ac:dyDescent="0.35">
      <c r="A57" s="3" t="s">
        <v>121</v>
      </c>
      <c r="B57" s="3" t="s">
        <v>122</v>
      </c>
    </row>
    <row r="58" spans="1:49" x14ac:dyDescent="0.35">
      <c r="A58" s="3" t="s">
        <v>123</v>
      </c>
      <c r="B58" s="3" t="s">
        <v>124</v>
      </c>
    </row>
    <row r="59" spans="1:49" x14ac:dyDescent="0.35">
      <c r="A59" s="3" t="s">
        <v>125</v>
      </c>
      <c r="B59" s="3" t="s">
        <v>126</v>
      </c>
    </row>
    <row r="60" spans="1:49" x14ac:dyDescent="0.35">
      <c r="A60" s="3" t="s">
        <v>127</v>
      </c>
      <c r="B60" s="3" t="s">
        <v>128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1.0999999999999999E-2</v>
      </c>
      <c r="AN60" s="4">
        <v>8.9999999999999993E-3</v>
      </c>
      <c r="AO60" s="4">
        <v>5.0999999999999997E-2</v>
      </c>
      <c r="AP60" s="4">
        <v>5.6000000000000001E-2</v>
      </c>
      <c r="AQ60" s="4">
        <v>0.19800000000000001</v>
      </c>
      <c r="AR60" s="4">
        <v>0.21299999999999999</v>
      </c>
      <c r="AS60" s="4">
        <v>0.30499999999999999</v>
      </c>
      <c r="AT60" s="4">
        <v>0.35399999999999998</v>
      </c>
      <c r="AU60" s="4">
        <v>0.65300000000000002</v>
      </c>
      <c r="AV60" s="4">
        <v>0.28199999999999997</v>
      </c>
      <c r="AW60" s="4">
        <v>0.504</v>
      </c>
    </row>
    <row r="61" spans="1:49" x14ac:dyDescent="0.35">
      <c r="A61" s="3" t="s">
        <v>129</v>
      </c>
      <c r="B61" s="3" t="s">
        <v>130</v>
      </c>
      <c r="T61" s="4">
        <v>106.13200000000001</v>
      </c>
      <c r="U61" s="4">
        <v>119.376</v>
      </c>
      <c r="V61" s="4">
        <v>137.35599999999999</v>
      </c>
      <c r="W61" s="4">
        <v>151.60499999999999</v>
      </c>
      <c r="X61" s="4">
        <v>168.67099999999999</v>
      </c>
      <c r="Y61" s="4">
        <v>163.06399999999999</v>
      </c>
      <c r="Z61" s="4">
        <v>179.584</v>
      </c>
      <c r="AA61" s="4">
        <v>208.70500000000001</v>
      </c>
      <c r="AB61" s="4">
        <v>222.96600000000001</v>
      </c>
      <c r="AC61" s="4">
        <v>203.69</v>
      </c>
      <c r="AD61" s="4">
        <v>225.51</v>
      </c>
      <c r="AE61" s="4">
        <v>247.44</v>
      </c>
      <c r="AF61" s="4">
        <v>270.67500000000001</v>
      </c>
      <c r="AG61" s="4">
        <v>257.697</v>
      </c>
      <c r="AH61" s="4">
        <v>301.79399999999998</v>
      </c>
      <c r="AI61" s="4">
        <v>337.524</v>
      </c>
      <c r="AJ61" s="4">
        <v>326.20600000000002</v>
      </c>
      <c r="AK61" s="4">
        <v>271.84100000000001</v>
      </c>
      <c r="AL61" s="4">
        <v>275.86099999999999</v>
      </c>
      <c r="AM61" s="4">
        <v>280.98500000000001</v>
      </c>
      <c r="AN61" s="4">
        <v>296.68900000000002</v>
      </c>
      <c r="AO61" s="4">
        <v>298.71899999999999</v>
      </c>
      <c r="AP61" s="4">
        <v>316.72300000000001</v>
      </c>
      <c r="AQ61" s="4">
        <v>319.62700000000001</v>
      </c>
      <c r="AR61" s="4">
        <v>300.31700000000001</v>
      </c>
      <c r="AS61" s="4">
        <v>318.74</v>
      </c>
      <c r="AT61" s="4">
        <v>322.41500000000002</v>
      </c>
      <c r="AU61" s="4">
        <v>329.988</v>
      </c>
      <c r="AV61" s="4">
        <v>338.33600000000001</v>
      </c>
      <c r="AW61" s="4">
        <v>342.351</v>
      </c>
    </row>
    <row r="62" spans="1:49" x14ac:dyDescent="0.35">
      <c r="B62" s="2" t="s">
        <v>48</v>
      </c>
    </row>
    <row r="63" spans="1:49" x14ac:dyDescent="0.35">
      <c r="A63" s="3" t="s">
        <v>134</v>
      </c>
      <c r="B63" s="3" t="s">
        <v>135</v>
      </c>
      <c r="T63" s="4">
        <v>3563.6770000000001</v>
      </c>
      <c r="U63" s="4">
        <v>3723.1590000000001</v>
      </c>
      <c r="V63" s="4">
        <v>3873.9789999999998</v>
      </c>
      <c r="W63" s="4">
        <v>4125.1930000000002</v>
      </c>
      <c r="X63" s="4">
        <v>4630.6710000000003</v>
      </c>
      <c r="Y63" s="4">
        <v>4971.5720000000001</v>
      </c>
      <c r="Z63" s="4">
        <v>5147.5429999999997</v>
      </c>
      <c r="AA63" s="4">
        <v>5512.0169999999998</v>
      </c>
      <c r="AB63" s="4">
        <v>6188.9750000000004</v>
      </c>
      <c r="AC63" s="4">
        <v>7044.4660000000003</v>
      </c>
      <c r="AD63" s="4">
        <v>7985.9390000000003</v>
      </c>
      <c r="AE63" s="4">
        <v>8881.1610000000001</v>
      </c>
      <c r="AF63" s="4">
        <v>9416.3610000000008</v>
      </c>
      <c r="AG63" s="4">
        <v>8807.3819999999996</v>
      </c>
      <c r="AH63" s="4">
        <v>8944.6839999999993</v>
      </c>
      <c r="AI63" s="4">
        <v>9686.4169999999995</v>
      </c>
      <c r="AJ63" s="4">
        <v>9953.4850000000006</v>
      </c>
      <c r="AK63" s="4">
        <v>10090.013000000001</v>
      </c>
      <c r="AL63" s="4">
        <v>10203.931</v>
      </c>
      <c r="AM63" s="4">
        <v>10291.041999999999</v>
      </c>
      <c r="AN63" s="4">
        <v>10526.296</v>
      </c>
      <c r="AO63" s="4">
        <v>11048.888000000001</v>
      </c>
      <c r="AP63" s="4">
        <v>11536.01</v>
      </c>
      <c r="AQ63" s="4">
        <v>11754.215</v>
      </c>
      <c r="AR63" s="4">
        <v>12605.425999999999</v>
      </c>
      <c r="AS63" s="4">
        <v>13372.573</v>
      </c>
      <c r="AT63" s="4">
        <v>14496.725</v>
      </c>
      <c r="AU63" s="4">
        <v>14570.136</v>
      </c>
      <c r="AV63" s="4">
        <v>14652.012000000001</v>
      </c>
      <c r="AW63" s="4">
        <v>14753.517</v>
      </c>
    </row>
    <row r="65" spans="1:49" x14ac:dyDescent="0.35">
      <c r="A65" s="5" t="s">
        <v>137</v>
      </c>
      <c r="B65" s="7" t="s">
        <v>248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f t="shared" ref="T65:AW65" si="0">T6-T52</f>
        <v>1665.0860000000002</v>
      </c>
      <c r="U65" s="6">
        <f t="shared" si="0"/>
        <v>1688.069</v>
      </c>
      <c r="V65" s="6">
        <f t="shared" si="0"/>
        <v>1693.8459999999998</v>
      </c>
      <c r="W65" s="6">
        <f t="shared" si="0"/>
        <v>1801.8609999999999</v>
      </c>
      <c r="X65" s="6">
        <f t="shared" si="0"/>
        <v>2010.6080000000002</v>
      </c>
      <c r="Y65" s="6">
        <f t="shared" si="0"/>
        <v>2261.125</v>
      </c>
      <c r="Z65" s="6">
        <f t="shared" si="0"/>
        <v>2504.3530000000001</v>
      </c>
      <c r="AA65" s="6">
        <f t="shared" si="0"/>
        <v>2853.355</v>
      </c>
      <c r="AB65" s="6">
        <f t="shared" si="0"/>
        <v>3347.4249999999997</v>
      </c>
      <c r="AC65" s="6">
        <f t="shared" si="0"/>
        <v>4038.3130000000001</v>
      </c>
      <c r="AD65" s="6">
        <f t="shared" si="0"/>
        <v>4744.25</v>
      </c>
      <c r="AE65" s="6">
        <f t="shared" si="0"/>
        <v>5268.25</v>
      </c>
      <c r="AF65" s="6">
        <f t="shared" si="0"/>
        <v>5597.3289999999997</v>
      </c>
      <c r="AG65" s="6">
        <f t="shared" si="0"/>
        <v>5262.6149999999998</v>
      </c>
      <c r="AH65" s="6">
        <f t="shared" si="0"/>
        <v>5127.9570000000003</v>
      </c>
      <c r="AI65" s="6">
        <f t="shared" si="0"/>
        <v>5608.5550000000003</v>
      </c>
      <c r="AJ65" s="6">
        <f t="shared" si="0"/>
        <v>5835.7870000000003</v>
      </c>
      <c r="AK65" s="6">
        <f t="shared" si="0"/>
        <v>5811.0740000000005</v>
      </c>
      <c r="AL65" s="6">
        <f t="shared" si="0"/>
        <v>5740.1639999999998</v>
      </c>
      <c r="AM65" s="6">
        <f t="shared" si="0"/>
        <v>5627.4369999999999</v>
      </c>
      <c r="AN65" s="6">
        <f t="shared" si="0"/>
        <v>5637.5870000000004</v>
      </c>
      <c r="AO65" s="6">
        <f t="shared" si="0"/>
        <v>5820.2240000000002</v>
      </c>
      <c r="AP65" s="6">
        <f t="shared" si="0"/>
        <v>6066.5820000000003</v>
      </c>
      <c r="AQ65" s="6">
        <f t="shared" si="0"/>
        <v>6325.7690000000002</v>
      </c>
      <c r="AR65" s="6">
        <f t="shared" si="0"/>
        <v>6678.7279999999992</v>
      </c>
      <c r="AS65" s="6">
        <f t="shared" si="0"/>
        <v>7149.2209999999995</v>
      </c>
      <c r="AT65" s="6">
        <f t="shared" si="0"/>
        <v>7768.0139999999992</v>
      </c>
      <c r="AU65" s="6">
        <f t="shared" si="0"/>
        <v>8176.3459999999995</v>
      </c>
      <c r="AV65" s="6">
        <f t="shared" si="0"/>
        <v>7845.1080000000002</v>
      </c>
      <c r="AW65" s="6">
        <f t="shared" si="0"/>
        <v>7776.3610000000008</v>
      </c>
    </row>
    <row r="66" spans="1:49" x14ac:dyDescent="0.35">
      <c r="B66" s="8" t="s">
        <v>249</v>
      </c>
      <c r="T66" s="6">
        <f t="shared" ref="T66:AL66" si="1">T38</f>
        <v>1898.5909999999999</v>
      </c>
      <c r="U66" s="6">
        <f t="shared" si="1"/>
        <v>2035.09</v>
      </c>
      <c r="V66" s="6">
        <f t="shared" si="1"/>
        <v>2180.1329999999998</v>
      </c>
      <c r="W66" s="6">
        <f t="shared" si="1"/>
        <v>2323.3319999999999</v>
      </c>
      <c r="X66" s="6">
        <f t="shared" si="1"/>
        <v>2620.0630000000001</v>
      </c>
      <c r="Y66" s="6">
        <f t="shared" si="1"/>
        <v>2710.4459999999999</v>
      </c>
      <c r="Z66" s="6">
        <f t="shared" si="1"/>
        <v>2643.19</v>
      </c>
      <c r="AA66" s="6">
        <f t="shared" si="1"/>
        <v>2658.6619999999998</v>
      </c>
      <c r="AB66" s="6">
        <f t="shared" si="1"/>
        <v>2841.549</v>
      </c>
      <c r="AC66" s="6">
        <f t="shared" si="1"/>
        <v>3006.1529999999998</v>
      </c>
      <c r="AD66" s="6">
        <f t="shared" si="1"/>
        <v>3241.6889999999999</v>
      </c>
      <c r="AE66" s="6">
        <f t="shared" si="1"/>
        <v>3612.9110000000001</v>
      </c>
      <c r="AF66" s="6">
        <f t="shared" si="1"/>
        <v>3819.0320000000002</v>
      </c>
      <c r="AG66" s="6">
        <f t="shared" si="1"/>
        <v>3544.7669999999998</v>
      </c>
      <c r="AH66" s="6">
        <f t="shared" si="1"/>
        <v>3816.7269999999999</v>
      </c>
      <c r="AI66" s="6">
        <f t="shared" si="1"/>
        <v>4077.8629999999998</v>
      </c>
      <c r="AJ66" s="6">
        <f t="shared" si="1"/>
        <v>4117.6970000000001</v>
      </c>
      <c r="AK66" s="6">
        <f t="shared" si="1"/>
        <v>4278.9380000000001</v>
      </c>
      <c r="AL66" s="6">
        <f t="shared" si="1"/>
        <v>4463.7659999999996</v>
      </c>
      <c r="AM66" s="6">
        <f>AM38</f>
        <v>4663.6049999999996</v>
      </c>
      <c r="AN66" s="6">
        <f t="shared" ref="AN66:AW66" si="2">AN38</f>
        <v>4888.71</v>
      </c>
      <c r="AO66" s="6">
        <f t="shared" si="2"/>
        <v>5228.665</v>
      </c>
      <c r="AP66" s="6">
        <f t="shared" si="2"/>
        <v>5469.4279999999999</v>
      </c>
      <c r="AQ66" s="6">
        <f t="shared" si="2"/>
        <v>5428.4459999999999</v>
      </c>
      <c r="AR66" s="6">
        <f t="shared" si="2"/>
        <v>5926.6980000000003</v>
      </c>
      <c r="AS66" s="6">
        <f t="shared" si="2"/>
        <v>6223.3519999999999</v>
      </c>
      <c r="AT66" s="6">
        <f t="shared" si="2"/>
        <v>6728.7110000000002</v>
      </c>
      <c r="AU66" s="6">
        <f t="shared" si="2"/>
        <v>6393.79</v>
      </c>
      <c r="AV66" s="6">
        <f t="shared" si="2"/>
        <v>6806.9040000000005</v>
      </c>
      <c r="AW66" s="6">
        <f t="shared" si="2"/>
        <v>6977.1559999999999</v>
      </c>
    </row>
    <row r="68" spans="1:49" x14ac:dyDescent="0.35">
      <c r="B68" t="s">
        <v>250</v>
      </c>
    </row>
    <row r="69" spans="1:49" x14ac:dyDescent="0.35">
      <c r="B69" s="7" t="s">
        <v>248</v>
      </c>
      <c r="T69" s="10">
        <f>T65/T72</f>
        <v>2.2406992235335284</v>
      </c>
      <c r="U69" s="10">
        <f t="shared" ref="U69:AW69" si="3">U65/U72</f>
        <v>2.2138348530968157</v>
      </c>
      <c r="V69" s="10">
        <f t="shared" si="3"/>
        <v>2.1614028192665615</v>
      </c>
      <c r="W69" s="10">
        <f t="shared" si="3"/>
        <v>2.2258360190779487</v>
      </c>
      <c r="X69" s="10">
        <f t="shared" si="3"/>
        <v>2.4181423698807412</v>
      </c>
      <c r="Y69" s="10">
        <f t="shared" si="3"/>
        <v>2.5643780961367471</v>
      </c>
      <c r="Z69" s="10">
        <f t="shared" si="3"/>
        <v>2.7014158860560142</v>
      </c>
      <c r="AA69" s="10">
        <f t="shared" si="3"/>
        <v>2.9532088993032413</v>
      </c>
      <c r="AB69" s="10">
        <f t="shared" si="3"/>
        <v>3.3713820407817949</v>
      </c>
      <c r="AC69" s="10">
        <f t="shared" si="3"/>
        <v>3.8991899042175189</v>
      </c>
      <c r="AD69" s="10">
        <f t="shared" si="3"/>
        <v>4.4291265072613681</v>
      </c>
      <c r="AE69" s="10">
        <f t="shared" si="3"/>
        <v>4.6686422676401698</v>
      </c>
      <c r="AF69" s="10">
        <f t="shared" si="3"/>
        <v>4.7164872703617755</v>
      </c>
      <c r="AG69" s="10">
        <f t="shared" si="3"/>
        <v>4.2941753894660568</v>
      </c>
      <c r="AH69" s="10">
        <f t="shared" si="3"/>
        <v>4.1760579897096122</v>
      </c>
      <c r="AI69" s="10">
        <f t="shared" si="3"/>
        <v>4.4477782738649889</v>
      </c>
      <c r="AJ69" s="10">
        <f t="shared" si="3"/>
        <v>4.5300991674591016</v>
      </c>
      <c r="AK69" s="10">
        <f t="shared" si="3"/>
        <v>4.4638453106408091</v>
      </c>
      <c r="AL69" s="10">
        <f t="shared" si="3"/>
        <v>4.4272054025788119</v>
      </c>
      <c r="AM69" s="10">
        <f t="shared" si="3"/>
        <v>4.2782160152656674</v>
      </c>
      <c r="AN69" s="10">
        <f t="shared" si="3"/>
        <v>4.2359048917841626</v>
      </c>
      <c r="AO69" s="10">
        <f t="shared" si="3"/>
        <v>4.3000332464001536</v>
      </c>
      <c r="AP69" s="10">
        <f t="shared" si="3"/>
        <v>4.3726895299052888</v>
      </c>
      <c r="AQ69" s="10">
        <f t="shared" si="3"/>
        <v>4.4325510802548074</v>
      </c>
      <c r="AR69" s="10">
        <f t="shared" si="3"/>
        <v>4.5257910800539944</v>
      </c>
      <c r="AS69" s="10">
        <f t="shared" si="3"/>
        <v>4.797101429826192</v>
      </c>
      <c r="AT69" s="10">
        <f t="shared" si="3"/>
        <v>4.9714366901350306</v>
      </c>
      <c r="AU69" s="10">
        <f t="shared" si="3"/>
        <v>4.9670925816914249</v>
      </c>
      <c r="AV69" s="10">
        <f t="shared" si="3"/>
        <v>4.4177009688400108</v>
      </c>
      <c r="AW69" s="10">
        <f t="shared" si="3"/>
        <v>4.1783951108168988</v>
      </c>
    </row>
    <row r="70" spans="1:49" x14ac:dyDescent="0.35">
      <c r="B70" s="8" t="s">
        <v>249</v>
      </c>
      <c r="T70" s="10">
        <f>T66/T72</f>
        <v>2.5549259194466498</v>
      </c>
      <c r="U70" s="10">
        <f t="shared" ref="U70:AW70" si="4">U66/U72</f>
        <v>2.6689389895725819</v>
      </c>
      <c r="V70" s="10">
        <f t="shared" si="4"/>
        <v>2.7819209140477157</v>
      </c>
      <c r="W70" s="10">
        <f t="shared" si="4"/>
        <v>2.8700083135582646</v>
      </c>
      <c r="X70" s="10">
        <f t="shared" si="4"/>
        <v>3.1511290873491227</v>
      </c>
      <c r="Y70" s="10">
        <f t="shared" si="4"/>
        <v>3.0739602424286412</v>
      </c>
      <c r="Z70" s="10">
        <f t="shared" si="4"/>
        <v>2.8511777117141217</v>
      </c>
      <c r="AA70" s="10">
        <f t="shared" si="4"/>
        <v>2.7517025672022419</v>
      </c>
      <c r="AB70" s="10">
        <f t="shared" si="4"/>
        <v>2.8618855587806955</v>
      </c>
      <c r="AC70" s="10">
        <f t="shared" si="4"/>
        <v>2.9025886374169625</v>
      </c>
      <c r="AD70" s="10">
        <f t="shared" si="4"/>
        <v>3.026368905137292</v>
      </c>
      <c r="AE70" s="10">
        <f t="shared" si="4"/>
        <v>3.2017062599197295</v>
      </c>
      <c r="AF70" s="10">
        <f t="shared" si="4"/>
        <v>3.2180377128277207</v>
      </c>
      <c r="AG70" s="10">
        <f t="shared" si="4"/>
        <v>2.8924500866568099</v>
      </c>
      <c r="AH70" s="10">
        <f t="shared" si="4"/>
        <v>3.1082306819051713</v>
      </c>
      <c r="AI70" s="10">
        <f t="shared" si="4"/>
        <v>3.2338865278486</v>
      </c>
      <c r="AJ70" s="10">
        <f t="shared" si="4"/>
        <v>3.1964113411865167</v>
      </c>
      <c r="AK70" s="10">
        <f t="shared" si="4"/>
        <v>3.2869168979473948</v>
      </c>
      <c r="AL70" s="10">
        <f t="shared" si="4"/>
        <v>3.4427603376920262</v>
      </c>
      <c r="AM70" s="10">
        <f t="shared" si="4"/>
        <v>3.5454700958665621</v>
      </c>
      <c r="AN70" s="10">
        <f t="shared" si="4"/>
        <v>3.6732223562162591</v>
      </c>
      <c r="AO70" s="10">
        <f t="shared" si="4"/>
        <v>3.8629841968777936</v>
      </c>
      <c r="AP70" s="10">
        <f t="shared" si="4"/>
        <v>3.9422710432613988</v>
      </c>
      <c r="AQ70" s="10">
        <f t="shared" si="4"/>
        <v>3.8037848333388222</v>
      </c>
      <c r="AR70" s="10">
        <f t="shared" si="4"/>
        <v>4.0161834622661461</v>
      </c>
      <c r="AS70" s="10">
        <f t="shared" si="4"/>
        <v>4.1758466800105483</v>
      </c>
      <c r="AT70" s="10">
        <f t="shared" si="4"/>
        <v>4.3062951151626629</v>
      </c>
      <c r="AU70" s="10">
        <f t="shared" si="4"/>
        <v>3.8841980119105548</v>
      </c>
      <c r="AV70" s="10">
        <f t="shared" si="4"/>
        <v>3.8330723293549234</v>
      </c>
      <c r="AW70" s="10">
        <f t="shared" si="4"/>
        <v>3.7489661961175398</v>
      </c>
    </row>
    <row r="72" spans="1:49" x14ac:dyDescent="0.35">
      <c r="B72" t="s">
        <v>251</v>
      </c>
      <c r="C72" s="9">
        <v>223.68100000000001</v>
      </c>
      <c r="D72" s="9">
        <v>249.84100000000001</v>
      </c>
      <c r="E72" s="9">
        <v>283.779</v>
      </c>
      <c r="F72" s="9">
        <v>327.33</v>
      </c>
      <c r="G72" s="9">
        <v>373.16500000000002</v>
      </c>
      <c r="H72" s="9">
        <v>408.99599999999998</v>
      </c>
      <c r="I72" s="9">
        <v>437.22800000000001</v>
      </c>
      <c r="J72" s="9">
        <v>468.87400000000002</v>
      </c>
      <c r="K72" s="9">
        <v>496.60700000000003</v>
      </c>
      <c r="L72" s="9">
        <v>520.65</v>
      </c>
      <c r="M72" s="9">
        <v>553.09</v>
      </c>
      <c r="N72" s="9">
        <v>593.35299999999995</v>
      </c>
      <c r="O72" s="9">
        <v>634.505</v>
      </c>
      <c r="P72" s="9">
        <v>660.27499999999998</v>
      </c>
      <c r="Q72" s="9">
        <v>693.11800000000005</v>
      </c>
      <c r="R72" s="9">
        <v>707.97400000000005</v>
      </c>
      <c r="S72" s="9">
        <v>718.58399999999995</v>
      </c>
      <c r="T72" s="9">
        <v>743.11</v>
      </c>
      <c r="U72" s="9">
        <v>762.50900000000001</v>
      </c>
      <c r="V72" s="9">
        <v>783.67899999999997</v>
      </c>
      <c r="W72" s="9">
        <v>809.52099999999996</v>
      </c>
      <c r="X72" s="9">
        <v>831.46799999999996</v>
      </c>
      <c r="Y72" s="9">
        <v>881.74400000000003</v>
      </c>
      <c r="Z72" s="9">
        <v>927.05200000000002</v>
      </c>
      <c r="AA72" s="9">
        <v>966.18799999999999</v>
      </c>
      <c r="AB72" s="9">
        <v>992.89400000000001</v>
      </c>
      <c r="AC72" s="9">
        <v>1035.68</v>
      </c>
      <c r="AD72" s="9">
        <v>1071.1479999999999</v>
      </c>
      <c r="AE72" s="9">
        <v>1128.433</v>
      </c>
      <c r="AF72" s="9">
        <v>1186.758</v>
      </c>
      <c r="AG72" s="9">
        <v>1225.5239999999999</v>
      </c>
      <c r="AH72" s="9">
        <v>1227.942</v>
      </c>
      <c r="AI72" s="9">
        <v>1260.979</v>
      </c>
      <c r="AJ72" s="9">
        <v>1288.2249999999999</v>
      </c>
      <c r="AK72" s="9">
        <v>1301.809</v>
      </c>
      <c r="AL72" s="9">
        <v>1296.566</v>
      </c>
      <c r="AM72" s="9">
        <v>1315.37</v>
      </c>
      <c r="AN72" s="9">
        <v>1330.905</v>
      </c>
      <c r="AO72" s="9">
        <v>1353.53</v>
      </c>
      <c r="AP72" s="9">
        <v>1387.38</v>
      </c>
      <c r="AQ72" s="9">
        <v>1427.117</v>
      </c>
      <c r="AR72" s="9">
        <v>1475.704</v>
      </c>
      <c r="AS72" s="9">
        <v>1490.3209999999999</v>
      </c>
      <c r="AT72" s="9">
        <v>1562.529</v>
      </c>
      <c r="AU72" s="9">
        <v>1646.1030000000001</v>
      </c>
      <c r="AV72" s="9">
        <v>1775.835</v>
      </c>
      <c r="AW72" s="9">
        <v>1861.088</v>
      </c>
    </row>
    <row r="73" spans="1:49" x14ac:dyDescent="0.35">
      <c r="T73">
        <f>(T72-S72)/S72*100</f>
        <v>3.413101321487825</v>
      </c>
    </row>
    <row r="76" spans="1:49" x14ac:dyDescent="0.35">
      <c r="T76" s="14">
        <f>SUM(T69:T70)</f>
        <v>4.7956251429801782</v>
      </c>
      <c r="U76" s="14">
        <f>SUM(U69:U70)</f>
        <v>4.8827738426693976</v>
      </c>
      <c r="V76" s="14">
        <f>SUM(V69:V70)</f>
        <v>4.9433237333142772</v>
      </c>
      <c r="W76" s="14">
        <f>SUM(W69:W70)</f>
        <v>5.0958443326362133</v>
      </c>
      <c r="X76" s="14">
        <f>SUM(X69:X70)</f>
        <v>5.5692714572298634</v>
      </c>
    </row>
  </sheetData>
  <hyperlinks>
    <hyperlink ref="A6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BE87-ECC5-4D6D-A787-51E7CFE0EC7C}">
  <dimension ref="A1:HY129"/>
  <sheetViews>
    <sheetView workbookViewId="0">
      <pane xSplit="2" ySplit="5" topLeftCell="CF96" activePane="bottomRight" state="frozen"/>
      <selection pane="topRight"/>
      <selection pane="bottomLeft"/>
      <selection pane="bottomRight" activeCell="CJ125" sqref="CJ125:CJ128"/>
    </sheetView>
  </sheetViews>
  <sheetFormatPr baseColWidth="10" defaultColWidth="8.81640625" defaultRowHeight="14.5" x14ac:dyDescent="0.35"/>
  <cols>
    <col min="1" max="1" width="24.1796875" customWidth="1"/>
    <col min="2" max="2" width="67.1796875" customWidth="1"/>
    <col min="3" max="83" width="13" hidden="1" customWidth="1"/>
    <col min="84" max="233" width="13" customWidth="1"/>
  </cols>
  <sheetData>
    <row r="1" spans="1:233" x14ac:dyDescent="0.35">
      <c r="A1" s="1" t="s">
        <v>252</v>
      </c>
    </row>
    <row r="2" spans="1:233" x14ac:dyDescent="0.35">
      <c r="A2" s="2" t="s">
        <v>253</v>
      </c>
    </row>
    <row r="4" spans="1:233" ht="12.75" customHeight="1" x14ac:dyDescent="0.35">
      <c r="B4" s="11" t="s">
        <v>152</v>
      </c>
      <c r="C4" s="12" t="s">
        <v>1</v>
      </c>
      <c r="D4" s="12" t="s">
        <v>2</v>
      </c>
      <c r="E4" s="12" t="s">
        <v>2</v>
      </c>
      <c r="F4" s="12" t="s">
        <v>2</v>
      </c>
      <c r="G4" s="12" t="s">
        <v>2</v>
      </c>
      <c r="H4" s="12" t="s">
        <v>2</v>
      </c>
      <c r="I4" s="12" t="s">
        <v>3</v>
      </c>
      <c r="J4" s="12" t="s">
        <v>3</v>
      </c>
      <c r="K4" s="12" t="s">
        <v>3</v>
      </c>
      <c r="L4" s="12" t="s">
        <v>3</v>
      </c>
      <c r="M4" s="12" t="s">
        <v>3</v>
      </c>
      <c r="N4" s="12" t="s">
        <v>4</v>
      </c>
      <c r="O4" s="12" t="s">
        <v>4</v>
      </c>
      <c r="P4" s="12" t="s">
        <v>4</v>
      </c>
      <c r="Q4" s="12" t="s">
        <v>4</v>
      </c>
      <c r="R4" s="12" t="s">
        <v>4</v>
      </c>
      <c r="S4" s="12" t="s">
        <v>5</v>
      </c>
      <c r="T4" s="12" t="s">
        <v>5</v>
      </c>
      <c r="U4" s="12" t="s">
        <v>5</v>
      </c>
      <c r="V4" s="12" t="s">
        <v>5</v>
      </c>
      <c r="W4" s="12" t="s">
        <v>5</v>
      </c>
      <c r="X4" s="12" t="s">
        <v>6</v>
      </c>
      <c r="Y4" s="12" t="s">
        <v>6</v>
      </c>
      <c r="Z4" s="12" t="s">
        <v>6</v>
      </c>
      <c r="AA4" s="12" t="s">
        <v>6</v>
      </c>
      <c r="AB4" s="12" t="s">
        <v>6</v>
      </c>
      <c r="AC4" s="12" t="s">
        <v>7</v>
      </c>
      <c r="AD4" s="12" t="s">
        <v>7</v>
      </c>
      <c r="AE4" s="12" t="s">
        <v>7</v>
      </c>
      <c r="AF4" s="12" t="s">
        <v>7</v>
      </c>
      <c r="AG4" s="12" t="s">
        <v>7</v>
      </c>
      <c r="AH4" s="12" t="s">
        <v>8</v>
      </c>
      <c r="AI4" s="12" t="s">
        <v>8</v>
      </c>
      <c r="AJ4" s="12" t="s">
        <v>8</v>
      </c>
      <c r="AK4" s="12" t="s">
        <v>8</v>
      </c>
      <c r="AL4" s="12" t="s">
        <v>8</v>
      </c>
      <c r="AM4" s="12" t="s">
        <v>9</v>
      </c>
      <c r="AN4" s="12" t="s">
        <v>9</v>
      </c>
      <c r="AO4" s="12" t="s">
        <v>9</v>
      </c>
      <c r="AP4" s="12" t="s">
        <v>9</v>
      </c>
      <c r="AQ4" s="12" t="s">
        <v>9</v>
      </c>
      <c r="AR4" s="12" t="s">
        <v>10</v>
      </c>
      <c r="AS4" s="12" t="s">
        <v>10</v>
      </c>
      <c r="AT4" s="12" t="s">
        <v>10</v>
      </c>
      <c r="AU4" s="12" t="s">
        <v>10</v>
      </c>
      <c r="AV4" s="12" t="s">
        <v>10</v>
      </c>
      <c r="AW4" s="12" t="s">
        <v>11</v>
      </c>
      <c r="AX4" s="12" t="s">
        <v>11</v>
      </c>
      <c r="AY4" s="12" t="s">
        <v>11</v>
      </c>
      <c r="AZ4" s="12" t="s">
        <v>11</v>
      </c>
      <c r="BA4" s="12" t="s">
        <v>11</v>
      </c>
      <c r="BB4" s="12" t="s">
        <v>12</v>
      </c>
      <c r="BC4" s="12" t="s">
        <v>12</v>
      </c>
      <c r="BD4" s="12" t="s">
        <v>12</v>
      </c>
      <c r="BE4" s="12" t="s">
        <v>12</v>
      </c>
      <c r="BF4" s="12" t="s">
        <v>12</v>
      </c>
      <c r="BG4" s="12" t="s">
        <v>13</v>
      </c>
      <c r="BH4" s="12" t="s">
        <v>13</v>
      </c>
      <c r="BI4" s="12" t="s">
        <v>13</v>
      </c>
      <c r="BJ4" s="12" t="s">
        <v>13</v>
      </c>
      <c r="BK4" s="12" t="s">
        <v>13</v>
      </c>
      <c r="BL4" s="12" t="s">
        <v>14</v>
      </c>
      <c r="BM4" s="12" t="s">
        <v>14</v>
      </c>
      <c r="BN4" s="12" t="s">
        <v>14</v>
      </c>
      <c r="BO4" s="12" t="s">
        <v>14</v>
      </c>
      <c r="BP4" s="12" t="s">
        <v>14</v>
      </c>
      <c r="BQ4" s="12" t="s">
        <v>15</v>
      </c>
      <c r="BR4" s="12" t="s">
        <v>15</v>
      </c>
      <c r="BS4" s="12" t="s">
        <v>15</v>
      </c>
      <c r="BT4" s="12" t="s">
        <v>15</v>
      </c>
      <c r="BU4" s="12" t="s">
        <v>15</v>
      </c>
      <c r="BV4" s="12" t="s">
        <v>16</v>
      </c>
      <c r="BW4" s="12" t="s">
        <v>16</v>
      </c>
      <c r="BX4" s="12" t="s">
        <v>16</v>
      </c>
      <c r="BY4" s="12" t="s">
        <v>16</v>
      </c>
      <c r="BZ4" s="12" t="s">
        <v>16</v>
      </c>
      <c r="CA4" s="12" t="s">
        <v>17</v>
      </c>
      <c r="CB4" s="12" t="s">
        <v>17</v>
      </c>
      <c r="CC4" s="12" t="s">
        <v>17</v>
      </c>
      <c r="CD4" s="12" t="s">
        <v>17</v>
      </c>
      <c r="CE4" s="12" t="s">
        <v>17</v>
      </c>
      <c r="CF4" s="12" t="s">
        <v>18</v>
      </c>
      <c r="CG4" s="12" t="s">
        <v>18</v>
      </c>
      <c r="CH4" s="12" t="s">
        <v>18</v>
      </c>
      <c r="CI4" s="12" t="s">
        <v>18</v>
      </c>
      <c r="CJ4" s="12" t="s">
        <v>18</v>
      </c>
      <c r="CK4" s="12" t="s">
        <v>19</v>
      </c>
      <c r="CL4" s="12" t="s">
        <v>19</v>
      </c>
      <c r="CM4" s="12" t="s">
        <v>19</v>
      </c>
      <c r="CN4" s="12" t="s">
        <v>19</v>
      </c>
      <c r="CO4" s="12" t="s">
        <v>19</v>
      </c>
      <c r="CP4" s="12" t="s">
        <v>20</v>
      </c>
      <c r="CQ4" s="12" t="s">
        <v>20</v>
      </c>
      <c r="CR4" s="12" t="s">
        <v>20</v>
      </c>
      <c r="CS4" s="12" t="s">
        <v>20</v>
      </c>
      <c r="CT4" s="12" t="s">
        <v>20</v>
      </c>
      <c r="CU4" s="12" t="s">
        <v>21</v>
      </c>
      <c r="CV4" s="12" t="s">
        <v>21</v>
      </c>
      <c r="CW4" s="12" t="s">
        <v>21</v>
      </c>
      <c r="CX4" s="12" t="s">
        <v>21</v>
      </c>
      <c r="CY4" s="12" t="s">
        <v>21</v>
      </c>
      <c r="CZ4" s="12" t="s">
        <v>22</v>
      </c>
      <c r="DA4" s="12" t="s">
        <v>22</v>
      </c>
      <c r="DB4" s="12" t="s">
        <v>22</v>
      </c>
      <c r="DC4" s="12" t="s">
        <v>22</v>
      </c>
      <c r="DD4" s="12" t="s">
        <v>22</v>
      </c>
      <c r="DE4" s="12" t="s">
        <v>23</v>
      </c>
      <c r="DF4" s="12" t="s">
        <v>23</v>
      </c>
      <c r="DG4" s="12" t="s">
        <v>23</v>
      </c>
      <c r="DH4" s="12" t="s">
        <v>23</v>
      </c>
      <c r="DI4" s="12" t="s">
        <v>23</v>
      </c>
      <c r="DJ4" s="12" t="s">
        <v>24</v>
      </c>
      <c r="DK4" s="12" t="s">
        <v>24</v>
      </c>
      <c r="DL4" s="12" t="s">
        <v>24</v>
      </c>
      <c r="DM4" s="12" t="s">
        <v>24</v>
      </c>
      <c r="DN4" s="12" t="s">
        <v>24</v>
      </c>
      <c r="DO4" s="12" t="s">
        <v>25</v>
      </c>
      <c r="DP4" s="12" t="s">
        <v>25</v>
      </c>
      <c r="DQ4" s="12" t="s">
        <v>25</v>
      </c>
      <c r="DR4" s="12" t="s">
        <v>25</v>
      </c>
      <c r="DS4" s="12" t="s">
        <v>25</v>
      </c>
      <c r="DT4" s="12" t="s">
        <v>26</v>
      </c>
      <c r="DU4" s="12" t="s">
        <v>26</v>
      </c>
      <c r="DV4" s="12" t="s">
        <v>26</v>
      </c>
      <c r="DW4" s="12" t="s">
        <v>26</v>
      </c>
      <c r="DX4" s="12" t="s">
        <v>26</v>
      </c>
      <c r="DY4" s="12" t="s">
        <v>27</v>
      </c>
      <c r="DZ4" s="12" t="s">
        <v>27</v>
      </c>
      <c r="EA4" s="12" t="s">
        <v>27</v>
      </c>
      <c r="EB4" s="12" t="s">
        <v>27</v>
      </c>
      <c r="EC4" s="12" t="s">
        <v>27</v>
      </c>
      <c r="ED4" s="12" t="s">
        <v>28</v>
      </c>
      <c r="EE4" s="12" t="s">
        <v>28</v>
      </c>
      <c r="EF4" s="12" t="s">
        <v>28</v>
      </c>
      <c r="EG4" s="12" t="s">
        <v>28</v>
      </c>
      <c r="EH4" s="12" t="s">
        <v>28</v>
      </c>
      <c r="EI4" s="12" t="s">
        <v>29</v>
      </c>
      <c r="EJ4" s="12" t="s">
        <v>29</v>
      </c>
      <c r="EK4" s="12" t="s">
        <v>29</v>
      </c>
      <c r="EL4" s="12" t="s">
        <v>29</v>
      </c>
      <c r="EM4" s="12" t="s">
        <v>29</v>
      </c>
      <c r="EN4" s="12" t="s">
        <v>30</v>
      </c>
      <c r="EO4" s="12" t="s">
        <v>30</v>
      </c>
      <c r="EP4" s="12" t="s">
        <v>30</v>
      </c>
      <c r="EQ4" s="12" t="s">
        <v>30</v>
      </c>
      <c r="ER4" s="12" t="s">
        <v>30</v>
      </c>
      <c r="ES4" s="12" t="s">
        <v>31</v>
      </c>
      <c r="ET4" s="12" t="s">
        <v>31</v>
      </c>
      <c r="EU4" s="12" t="s">
        <v>31</v>
      </c>
      <c r="EV4" s="12" t="s">
        <v>31</v>
      </c>
      <c r="EW4" s="12" t="s">
        <v>31</v>
      </c>
      <c r="EX4" s="12" t="s">
        <v>32</v>
      </c>
      <c r="EY4" s="12" t="s">
        <v>32</v>
      </c>
      <c r="EZ4" s="12" t="s">
        <v>32</v>
      </c>
      <c r="FA4" s="12" t="s">
        <v>32</v>
      </c>
      <c r="FB4" s="12" t="s">
        <v>32</v>
      </c>
      <c r="FC4" s="12" t="s">
        <v>33</v>
      </c>
      <c r="FD4" s="12" t="s">
        <v>33</v>
      </c>
      <c r="FE4" s="12" t="s">
        <v>33</v>
      </c>
      <c r="FF4" s="12" t="s">
        <v>33</v>
      </c>
      <c r="FG4" s="12" t="s">
        <v>33</v>
      </c>
      <c r="FH4" s="12" t="s">
        <v>34</v>
      </c>
      <c r="FI4" s="12" t="s">
        <v>34</v>
      </c>
      <c r="FJ4" s="12" t="s">
        <v>34</v>
      </c>
      <c r="FK4" s="12" t="s">
        <v>34</v>
      </c>
      <c r="FL4" s="12" t="s">
        <v>34</v>
      </c>
      <c r="FM4" s="12" t="s">
        <v>35</v>
      </c>
      <c r="FN4" s="12" t="s">
        <v>35</v>
      </c>
      <c r="FO4" s="12" t="s">
        <v>35</v>
      </c>
      <c r="FP4" s="12" t="s">
        <v>35</v>
      </c>
      <c r="FQ4" s="12" t="s">
        <v>35</v>
      </c>
      <c r="FR4" s="12" t="s">
        <v>36</v>
      </c>
      <c r="FS4" s="12" t="s">
        <v>36</v>
      </c>
      <c r="FT4" s="12" t="s">
        <v>36</v>
      </c>
      <c r="FU4" s="12" t="s">
        <v>36</v>
      </c>
      <c r="FV4" s="12" t="s">
        <v>36</v>
      </c>
      <c r="FW4" s="12" t="s">
        <v>37</v>
      </c>
      <c r="FX4" s="12" t="s">
        <v>37</v>
      </c>
      <c r="FY4" s="12" t="s">
        <v>37</v>
      </c>
      <c r="FZ4" s="12" t="s">
        <v>37</v>
      </c>
      <c r="GA4" s="12" t="s">
        <v>37</v>
      </c>
      <c r="GB4" s="12" t="s">
        <v>38</v>
      </c>
      <c r="GC4" s="12" t="s">
        <v>38</v>
      </c>
      <c r="GD4" s="12" t="s">
        <v>38</v>
      </c>
      <c r="GE4" s="12" t="s">
        <v>38</v>
      </c>
      <c r="GF4" s="12" t="s">
        <v>38</v>
      </c>
      <c r="GG4" s="12" t="s">
        <v>39</v>
      </c>
      <c r="GH4" s="12" t="s">
        <v>39</v>
      </c>
      <c r="GI4" s="12" t="s">
        <v>39</v>
      </c>
      <c r="GJ4" s="12" t="s">
        <v>39</v>
      </c>
      <c r="GK4" s="12" t="s">
        <v>39</v>
      </c>
      <c r="GL4" s="12" t="s">
        <v>40</v>
      </c>
      <c r="GM4" s="12" t="s">
        <v>40</v>
      </c>
      <c r="GN4" s="12" t="s">
        <v>40</v>
      </c>
      <c r="GO4" s="12" t="s">
        <v>40</v>
      </c>
      <c r="GP4" s="12" t="s">
        <v>40</v>
      </c>
      <c r="GQ4" s="12" t="s">
        <v>41</v>
      </c>
      <c r="GR4" s="12" t="s">
        <v>41</v>
      </c>
      <c r="GS4" s="12" t="s">
        <v>41</v>
      </c>
      <c r="GT4" s="12" t="s">
        <v>41</v>
      </c>
      <c r="GU4" s="12" t="s">
        <v>41</v>
      </c>
      <c r="GV4" s="12" t="s">
        <v>42</v>
      </c>
      <c r="GW4" s="12" t="s">
        <v>42</v>
      </c>
      <c r="GX4" s="12" t="s">
        <v>42</v>
      </c>
      <c r="GY4" s="12" t="s">
        <v>42</v>
      </c>
      <c r="GZ4" s="12" t="s">
        <v>42</v>
      </c>
      <c r="HA4" s="12" t="s">
        <v>43</v>
      </c>
      <c r="HB4" s="12" t="s">
        <v>43</v>
      </c>
      <c r="HC4" s="12" t="s">
        <v>43</v>
      </c>
      <c r="HD4" s="12" t="s">
        <v>43</v>
      </c>
      <c r="HE4" s="12" t="s">
        <v>43</v>
      </c>
      <c r="HF4" s="12" t="s">
        <v>44</v>
      </c>
      <c r="HG4" s="12" t="s">
        <v>44</v>
      </c>
      <c r="HH4" s="12" t="s">
        <v>44</v>
      </c>
      <c r="HI4" s="12" t="s">
        <v>44</v>
      </c>
      <c r="HJ4" s="12" t="s">
        <v>44</v>
      </c>
      <c r="HK4" s="12" t="s">
        <v>45</v>
      </c>
      <c r="HL4" s="12" t="s">
        <v>45</v>
      </c>
      <c r="HM4" s="12" t="s">
        <v>45</v>
      </c>
      <c r="HN4" s="12" t="s">
        <v>45</v>
      </c>
      <c r="HO4" s="12" t="s">
        <v>45</v>
      </c>
      <c r="HP4" s="12" t="s">
        <v>46</v>
      </c>
      <c r="HQ4" s="12" t="s">
        <v>46</v>
      </c>
      <c r="HR4" s="12" t="s">
        <v>46</v>
      </c>
      <c r="HS4" s="12" t="s">
        <v>46</v>
      </c>
      <c r="HT4" s="12" t="s">
        <v>46</v>
      </c>
      <c r="HU4" s="12" t="s">
        <v>47</v>
      </c>
      <c r="HV4" s="12" t="s">
        <v>47</v>
      </c>
      <c r="HW4" s="12" t="s">
        <v>47</v>
      </c>
      <c r="HX4" s="12" t="s">
        <v>47</v>
      </c>
      <c r="HY4" s="12" t="s">
        <v>47</v>
      </c>
    </row>
    <row r="5" spans="1:233" ht="76.75" customHeight="1" x14ac:dyDescent="0.35">
      <c r="B5" s="11" t="s">
        <v>234</v>
      </c>
      <c r="C5" s="12" t="s">
        <v>254</v>
      </c>
      <c r="D5" s="12" t="s">
        <v>255</v>
      </c>
      <c r="E5" s="12" t="s">
        <v>256</v>
      </c>
      <c r="F5" s="12" t="s">
        <v>257</v>
      </c>
      <c r="G5" s="12" t="s">
        <v>258</v>
      </c>
      <c r="H5" s="12" t="s">
        <v>254</v>
      </c>
      <c r="I5" s="12" t="s">
        <v>255</v>
      </c>
      <c r="J5" s="12" t="s">
        <v>256</v>
      </c>
      <c r="K5" s="12" t="s">
        <v>257</v>
      </c>
      <c r="L5" s="12" t="s">
        <v>258</v>
      </c>
      <c r="M5" s="12" t="s">
        <v>254</v>
      </c>
      <c r="N5" s="12" t="s">
        <v>255</v>
      </c>
      <c r="O5" s="12" t="s">
        <v>256</v>
      </c>
      <c r="P5" s="12" t="s">
        <v>257</v>
      </c>
      <c r="Q5" s="12" t="s">
        <v>258</v>
      </c>
      <c r="R5" s="12" t="s">
        <v>254</v>
      </c>
      <c r="S5" s="12" t="s">
        <v>255</v>
      </c>
      <c r="T5" s="12" t="s">
        <v>256</v>
      </c>
      <c r="U5" s="12" t="s">
        <v>257</v>
      </c>
      <c r="V5" s="12" t="s">
        <v>258</v>
      </c>
      <c r="W5" s="12" t="s">
        <v>254</v>
      </c>
      <c r="X5" s="12" t="s">
        <v>255</v>
      </c>
      <c r="Y5" s="12" t="s">
        <v>256</v>
      </c>
      <c r="Z5" s="12" t="s">
        <v>257</v>
      </c>
      <c r="AA5" s="12" t="s">
        <v>258</v>
      </c>
      <c r="AB5" s="12" t="s">
        <v>254</v>
      </c>
      <c r="AC5" s="12" t="s">
        <v>255</v>
      </c>
      <c r="AD5" s="12" t="s">
        <v>256</v>
      </c>
      <c r="AE5" s="12" t="s">
        <v>257</v>
      </c>
      <c r="AF5" s="12" t="s">
        <v>258</v>
      </c>
      <c r="AG5" s="12" t="s">
        <v>254</v>
      </c>
      <c r="AH5" s="12" t="s">
        <v>255</v>
      </c>
      <c r="AI5" s="12" t="s">
        <v>256</v>
      </c>
      <c r="AJ5" s="12" t="s">
        <v>257</v>
      </c>
      <c r="AK5" s="12" t="s">
        <v>258</v>
      </c>
      <c r="AL5" s="12" t="s">
        <v>254</v>
      </c>
      <c r="AM5" s="12" t="s">
        <v>255</v>
      </c>
      <c r="AN5" s="12" t="s">
        <v>256</v>
      </c>
      <c r="AO5" s="12" t="s">
        <v>257</v>
      </c>
      <c r="AP5" s="12" t="s">
        <v>258</v>
      </c>
      <c r="AQ5" s="12" t="s">
        <v>254</v>
      </c>
      <c r="AR5" s="12" t="s">
        <v>255</v>
      </c>
      <c r="AS5" s="12" t="s">
        <v>256</v>
      </c>
      <c r="AT5" s="12" t="s">
        <v>257</v>
      </c>
      <c r="AU5" s="12" t="s">
        <v>258</v>
      </c>
      <c r="AV5" s="12" t="s">
        <v>254</v>
      </c>
      <c r="AW5" s="12" t="s">
        <v>255</v>
      </c>
      <c r="AX5" s="12" t="s">
        <v>256</v>
      </c>
      <c r="AY5" s="12" t="s">
        <v>257</v>
      </c>
      <c r="AZ5" s="12" t="s">
        <v>258</v>
      </c>
      <c r="BA5" s="12" t="s">
        <v>254</v>
      </c>
      <c r="BB5" s="12" t="s">
        <v>255</v>
      </c>
      <c r="BC5" s="12" t="s">
        <v>256</v>
      </c>
      <c r="BD5" s="12" t="s">
        <v>257</v>
      </c>
      <c r="BE5" s="12" t="s">
        <v>258</v>
      </c>
      <c r="BF5" s="12" t="s">
        <v>254</v>
      </c>
      <c r="BG5" s="12" t="s">
        <v>255</v>
      </c>
      <c r="BH5" s="12" t="s">
        <v>256</v>
      </c>
      <c r="BI5" s="12" t="s">
        <v>257</v>
      </c>
      <c r="BJ5" s="12" t="s">
        <v>258</v>
      </c>
      <c r="BK5" s="12" t="s">
        <v>254</v>
      </c>
      <c r="BL5" s="12" t="s">
        <v>255</v>
      </c>
      <c r="BM5" s="12" t="s">
        <v>256</v>
      </c>
      <c r="BN5" s="12" t="s">
        <v>257</v>
      </c>
      <c r="BO5" s="12" t="s">
        <v>258</v>
      </c>
      <c r="BP5" s="12" t="s">
        <v>254</v>
      </c>
      <c r="BQ5" s="12" t="s">
        <v>255</v>
      </c>
      <c r="BR5" s="12" t="s">
        <v>256</v>
      </c>
      <c r="BS5" s="12" t="s">
        <v>257</v>
      </c>
      <c r="BT5" s="12" t="s">
        <v>258</v>
      </c>
      <c r="BU5" s="12" t="s">
        <v>254</v>
      </c>
      <c r="BV5" s="12" t="s">
        <v>255</v>
      </c>
      <c r="BW5" s="12" t="s">
        <v>256</v>
      </c>
      <c r="BX5" s="12" t="s">
        <v>257</v>
      </c>
      <c r="BY5" s="12" t="s">
        <v>258</v>
      </c>
      <c r="BZ5" s="12" t="s">
        <v>254</v>
      </c>
      <c r="CA5" s="12" t="s">
        <v>255</v>
      </c>
      <c r="CB5" s="12" t="s">
        <v>256</v>
      </c>
      <c r="CC5" s="12" t="s">
        <v>257</v>
      </c>
      <c r="CD5" s="12" t="s">
        <v>258</v>
      </c>
      <c r="CE5" s="12" t="s">
        <v>254</v>
      </c>
      <c r="CF5" s="12" t="s">
        <v>255</v>
      </c>
      <c r="CG5" s="12" t="s">
        <v>256</v>
      </c>
      <c r="CH5" s="12" t="s">
        <v>257</v>
      </c>
      <c r="CI5" s="12" t="s">
        <v>258</v>
      </c>
      <c r="CJ5" s="12" t="s">
        <v>254</v>
      </c>
      <c r="CK5" s="12" t="s">
        <v>255</v>
      </c>
      <c r="CL5" s="12" t="s">
        <v>256</v>
      </c>
      <c r="CM5" s="12" t="s">
        <v>257</v>
      </c>
      <c r="CN5" s="12" t="s">
        <v>258</v>
      </c>
      <c r="CO5" s="12" t="s">
        <v>254</v>
      </c>
      <c r="CP5" s="12" t="s">
        <v>255</v>
      </c>
      <c r="CQ5" s="12" t="s">
        <v>256</v>
      </c>
      <c r="CR5" s="12" t="s">
        <v>257</v>
      </c>
      <c r="CS5" s="12" t="s">
        <v>258</v>
      </c>
      <c r="CT5" s="12" t="s">
        <v>254</v>
      </c>
      <c r="CU5" s="12" t="s">
        <v>255</v>
      </c>
      <c r="CV5" s="12" t="s">
        <v>256</v>
      </c>
      <c r="CW5" s="12" t="s">
        <v>257</v>
      </c>
      <c r="CX5" s="12" t="s">
        <v>258</v>
      </c>
      <c r="CY5" s="12" t="s">
        <v>254</v>
      </c>
      <c r="CZ5" s="12" t="s">
        <v>255</v>
      </c>
      <c r="DA5" s="12" t="s">
        <v>256</v>
      </c>
      <c r="DB5" s="12" t="s">
        <v>257</v>
      </c>
      <c r="DC5" s="12" t="s">
        <v>258</v>
      </c>
      <c r="DD5" s="12" t="s">
        <v>254</v>
      </c>
      <c r="DE5" s="12" t="s">
        <v>255</v>
      </c>
      <c r="DF5" s="12" t="s">
        <v>256</v>
      </c>
      <c r="DG5" s="12" t="s">
        <v>257</v>
      </c>
      <c r="DH5" s="12" t="s">
        <v>258</v>
      </c>
      <c r="DI5" s="12" t="s">
        <v>254</v>
      </c>
      <c r="DJ5" s="12" t="s">
        <v>255</v>
      </c>
      <c r="DK5" s="12" t="s">
        <v>256</v>
      </c>
      <c r="DL5" s="12" t="s">
        <v>257</v>
      </c>
      <c r="DM5" s="12" t="s">
        <v>258</v>
      </c>
      <c r="DN5" s="12" t="s">
        <v>254</v>
      </c>
      <c r="DO5" s="12" t="s">
        <v>255</v>
      </c>
      <c r="DP5" s="12" t="s">
        <v>256</v>
      </c>
      <c r="DQ5" s="12" t="s">
        <v>257</v>
      </c>
      <c r="DR5" s="12" t="s">
        <v>258</v>
      </c>
      <c r="DS5" s="12" t="s">
        <v>254</v>
      </c>
      <c r="DT5" s="12" t="s">
        <v>255</v>
      </c>
      <c r="DU5" s="12" t="s">
        <v>256</v>
      </c>
      <c r="DV5" s="12" t="s">
        <v>257</v>
      </c>
      <c r="DW5" s="12" t="s">
        <v>258</v>
      </c>
      <c r="DX5" s="12" t="s">
        <v>254</v>
      </c>
      <c r="DY5" s="12" t="s">
        <v>255</v>
      </c>
      <c r="DZ5" s="12" t="s">
        <v>256</v>
      </c>
      <c r="EA5" s="12" t="s">
        <v>257</v>
      </c>
      <c r="EB5" s="12" t="s">
        <v>258</v>
      </c>
      <c r="EC5" s="12" t="s">
        <v>254</v>
      </c>
      <c r="ED5" s="12" t="s">
        <v>255</v>
      </c>
      <c r="EE5" s="12" t="s">
        <v>256</v>
      </c>
      <c r="EF5" s="12" t="s">
        <v>257</v>
      </c>
      <c r="EG5" s="12" t="s">
        <v>258</v>
      </c>
      <c r="EH5" s="12" t="s">
        <v>254</v>
      </c>
      <c r="EI5" s="12" t="s">
        <v>255</v>
      </c>
      <c r="EJ5" s="12" t="s">
        <v>256</v>
      </c>
      <c r="EK5" s="12" t="s">
        <v>257</v>
      </c>
      <c r="EL5" s="12" t="s">
        <v>258</v>
      </c>
      <c r="EM5" s="12" t="s">
        <v>254</v>
      </c>
      <c r="EN5" s="12" t="s">
        <v>255</v>
      </c>
      <c r="EO5" s="12" t="s">
        <v>256</v>
      </c>
      <c r="EP5" s="12" t="s">
        <v>257</v>
      </c>
      <c r="EQ5" s="12" t="s">
        <v>258</v>
      </c>
      <c r="ER5" s="12" t="s">
        <v>254</v>
      </c>
      <c r="ES5" s="12" t="s">
        <v>255</v>
      </c>
      <c r="ET5" s="12" t="s">
        <v>256</v>
      </c>
      <c r="EU5" s="12" t="s">
        <v>257</v>
      </c>
      <c r="EV5" s="12" t="s">
        <v>258</v>
      </c>
      <c r="EW5" s="12" t="s">
        <v>254</v>
      </c>
      <c r="EX5" s="12" t="s">
        <v>255</v>
      </c>
      <c r="EY5" s="12" t="s">
        <v>256</v>
      </c>
      <c r="EZ5" s="12" t="s">
        <v>257</v>
      </c>
      <c r="FA5" s="12" t="s">
        <v>258</v>
      </c>
      <c r="FB5" s="12" t="s">
        <v>254</v>
      </c>
      <c r="FC5" s="12" t="s">
        <v>255</v>
      </c>
      <c r="FD5" s="12" t="s">
        <v>256</v>
      </c>
      <c r="FE5" s="12" t="s">
        <v>257</v>
      </c>
      <c r="FF5" s="12" t="s">
        <v>258</v>
      </c>
      <c r="FG5" s="12" t="s">
        <v>254</v>
      </c>
      <c r="FH5" s="12" t="s">
        <v>255</v>
      </c>
      <c r="FI5" s="12" t="s">
        <v>256</v>
      </c>
      <c r="FJ5" s="12" t="s">
        <v>257</v>
      </c>
      <c r="FK5" s="12" t="s">
        <v>258</v>
      </c>
      <c r="FL5" s="12" t="s">
        <v>254</v>
      </c>
      <c r="FM5" s="12" t="s">
        <v>255</v>
      </c>
      <c r="FN5" s="12" t="s">
        <v>256</v>
      </c>
      <c r="FO5" s="12" t="s">
        <v>257</v>
      </c>
      <c r="FP5" s="12" t="s">
        <v>258</v>
      </c>
      <c r="FQ5" s="12" t="s">
        <v>254</v>
      </c>
      <c r="FR5" s="12" t="s">
        <v>255</v>
      </c>
      <c r="FS5" s="12" t="s">
        <v>256</v>
      </c>
      <c r="FT5" s="12" t="s">
        <v>257</v>
      </c>
      <c r="FU5" s="12" t="s">
        <v>258</v>
      </c>
      <c r="FV5" s="12" t="s">
        <v>254</v>
      </c>
      <c r="FW5" s="12" t="s">
        <v>255</v>
      </c>
      <c r="FX5" s="12" t="s">
        <v>256</v>
      </c>
      <c r="FY5" s="12" t="s">
        <v>257</v>
      </c>
      <c r="FZ5" s="12" t="s">
        <v>258</v>
      </c>
      <c r="GA5" s="12" t="s">
        <v>254</v>
      </c>
      <c r="GB5" s="12" t="s">
        <v>255</v>
      </c>
      <c r="GC5" s="12" t="s">
        <v>256</v>
      </c>
      <c r="GD5" s="12" t="s">
        <v>257</v>
      </c>
      <c r="GE5" s="12" t="s">
        <v>258</v>
      </c>
      <c r="GF5" s="12" t="s">
        <v>254</v>
      </c>
      <c r="GG5" s="12" t="s">
        <v>255</v>
      </c>
      <c r="GH5" s="12" t="s">
        <v>256</v>
      </c>
      <c r="GI5" s="12" t="s">
        <v>257</v>
      </c>
      <c r="GJ5" s="12" t="s">
        <v>258</v>
      </c>
      <c r="GK5" s="12" t="s">
        <v>254</v>
      </c>
      <c r="GL5" s="12" t="s">
        <v>255</v>
      </c>
      <c r="GM5" s="12" t="s">
        <v>256</v>
      </c>
      <c r="GN5" s="12" t="s">
        <v>257</v>
      </c>
      <c r="GO5" s="12" t="s">
        <v>258</v>
      </c>
      <c r="GP5" s="12" t="s">
        <v>254</v>
      </c>
      <c r="GQ5" s="12" t="s">
        <v>255</v>
      </c>
      <c r="GR5" s="12" t="s">
        <v>256</v>
      </c>
      <c r="GS5" s="12" t="s">
        <v>257</v>
      </c>
      <c r="GT5" s="12" t="s">
        <v>258</v>
      </c>
      <c r="GU5" s="12" t="s">
        <v>254</v>
      </c>
      <c r="GV5" s="12" t="s">
        <v>255</v>
      </c>
      <c r="GW5" s="12" t="s">
        <v>256</v>
      </c>
      <c r="GX5" s="12" t="s">
        <v>257</v>
      </c>
      <c r="GY5" s="12" t="s">
        <v>258</v>
      </c>
      <c r="GZ5" s="12" t="s">
        <v>254</v>
      </c>
      <c r="HA5" s="12" t="s">
        <v>255</v>
      </c>
      <c r="HB5" s="12" t="s">
        <v>256</v>
      </c>
      <c r="HC5" s="12" t="s">
        <v>257</v>
      </c>
      <c r="HD5" s="12" t="s">
        <v>258</v>
      </c>
      <c r="HE5" s="12" t="s">
        <v>254</v>
      </c>
      <c r="HF5" s="12" t="s">
        <v>255</v>
      </c>
      <c r="HG5" s="12" t="s">
        <v>256</v>
      </c>
      <c r="HH5" s="12" t="s">
        <v>257</v>
      </c>
      <c r="HI5" s="12" t="s">
        <v>258</v>
      </c>
      <c r="HJ5" s="12" t="s">
        <v>254</v>
      </c>
      <c r="HK5" s="12" t="s">
        <v>255</v>
      </c>
      <c r="HL5" s="12" t="s">
        <v>256</v>
      </c>
      <c r="HM5" s="12" t="s">
        <v>257</v>
      </c>
      <c r="HN5" s="12" t="s">
        <v>258</v>
      </c>
      <c r="HO5" s="12" t="s">
        <v>254</v>
      </c>
      <c r="HP5" s="12" t="s">
        <v>255</v>
      </c>
      <c r="HQ5" s="12" t="s">
        <v>256</v>
      </c>
      <c r="HR5" s="12" t="s">
        <v>257</v>
      </c>
      <c r="HS5" s="12" t="s">
        <v>258</v>
      </c>
      <c r="HT5" s="12" t="s">
        <v>254</v>
      </c>
      <c r="HU5" s="12" t="s">
        <v>255</v>
      </c>
      <c r="HV5" s="12" t="s">
        <v>256</v>
      </c>
      <c r="HW5" s="12" t="s">
        <v>257</v>
      </c>
      <c r="HX5" s="12" t="s">
        <v>258</v>
      </c>
      <c r="HY5" s="12" t="s">
        <v>254</v>
      </c>
    </row>
    <row r="6" spans="1:233" x14ac:dyDescent="0.35">
      <c r="A6" s="11" t="s">
        <v>187</v>
      </c>
      <c r="B6" s="11" t="s">
        <v>188</v>
      </c>
    </row>
    <row r="7" spans="1:233" x14ac:dyDescent="0.35">
      <c r="A7" s="12" t="s">
        <v>174</v>
      </c>
      <c r="B7" s="12" t="s">
        <v>259</v>
      </c>
      <c r="C7" s="9">
        <v>778.64099999999996</v>
      </c>
      <c r="D7" s="9">
        <v>35.590000000000003</v>
      </c>
      <c r="E7" s="9">
        <v>-12.997</v>
      </c>
      <c r="F7" s="9">
        <v>92.168000000000006</v>
      </c>
      <c r="G7" s="9">
        <v>6.5090000000000003</v>
      </c>
      <c r="H7" s="9">
        <v>899.90899999999999</v>
      </c>
      <c r="I7" s="9">
        <v>40.86</v>
      </c>
      <c r="J7" s="9">
        <v>-15.577</v>
      </c>
      <c r="K7" s="9">
        <v>93.994</v>
      </c>
      <c r="L7" s="9">
        <v>6.8659999999999997</v>
      </c>
      <c r="M7" s="9">
        <v>1026.0509999999999</v>
      </c>
      <c r="N7" s="9">
        <v>42.3</v>
      </c>
      <c r="O7" s="9">
        <v>-17.875</v>
      </c>
      <c r="P7" s="9">
        <v>99.090999999999994</v>
      </c>
      <c r="Q7" s="9">
        <v>5.032</v>
      </c>
      <c r="R7" s="9">
        <v>1154.598</v>
      </c>
      <c r="S7" s="9">
        <v>44.939</v>
      </c>
      <c r="T7" s="9">
        <v>-20.492999999999999</v>
      </c>
      <c r="U7" s="9">
        <v>92.418000000000006</v>
      </c>
      <c r="V7" s="9">
        <v>3.0720000000000001</v>
      </c>
      <c r="W7" s="9">
        <v>1274.5340000000001</v>
      </c>
      <c r="X7" s="9">
        <v>46.142000000000003</v>
      </c>
      <c r="Y7" s="9">
        <v>-22.4</v>
      </c>
      <c r="Z7" s="9">
        <v>94.168999999999997</v>
      </c>
      <c r="AA7" s="9">
        <v>6.8</v>
      </c>
      <c r="AB7" s="9">
        <v>1399.2429999999999</v>
      </c>
      <c r="AC7" s="9">
        <v>47.902999999999999</v>
      </c>
      <c r="AD7" s="9">
        <v>-23.945</v>
      </c>
      <c r="AE7" s="9">
        <v>37.593000000000004</v>
      </c>
      <c r="AF7" s="9">
        <v>5.9370000000000003</v>
      </c>
      <c r="AG7" s="9">
        <v>1466.7280000000001</v>
      </c>
      <c r="AH7" s="9">
        <v>47.04</v>
      </c>
      <c r="AI7" s="9">
        <v>-24.901</v>
      </c>
      <c r="AJ7" s="9">
        <v>43.23</v>
      </c>
      <c r="AK7" s="9">
        <v>0.22900000000000001</v>
      </c>
      <c r="AL7" s="9">
        <v>1532.327</v>
      </c>
      <c r="AM7" s="9">
        <v>49.945</v>
      </c>
      <c r="AN7" s="9">
        <v>-25.942</v>
      </c>
      <c r="AO7" s="9">
        <v>64.061999999999998</v>
      </c>
      <c r="AP7" s="9">
        <v>0.38100000000000001</v>
      </c>
      <c r="AQ7" s="9">
        <v>1620.7719999999999</v>
      </c>
      <c r="AR7" s="9">
        <v>55.095999999999997</v>
      </c>
      <c r="AS7" s="9">
        <v>-27.204000000000001</v>
      </c>
      <c r="AT7" s="9">
        <v>76.676000000000002</v>
      </c>
      <c r="AU7" s="9">
        <v>-8.8640000000000008</v>
      </c>
      <c r="AV7" s="9">
        <v>1716.4739999999999</v>
      </c>
      <c r="AW7" s="9">
        <v>60.171999999999997</v>
      </c>
      <c r="AX7" s="9">
        <v>-28.902000000000001</v>
      </c>
      <c r="AY7" s="9">
        <v>102.35599999999999</v>
      </c>
      <c r="AZ7" s="9">
        <v>-1.8620000000000001</v>
      </c>
      <c r="BA7" s="9">
        <v>1848.2380000000001</v>
      </c>
      <c r="BB7" s="9">
        <v>66.688999999999993</v>
      </c>
      <c r="BC7" s="9">
        <v>-30.882000000000001</v>
      </c>
      <c r="BD7" s="9">
        <v>117.46299999999999</v>
      </c>
      <c r="BE7" s="9">
        <v>4.0780000000000003</v>
      </c>
      <c r="BF7" s="9">
        <v>2005.5840000000001</v>
      </c>
      <c r="BG7" s="9">
        <v>67.537999999999997</v>
      </c>
      <c r="BH7" s="9">
        <v>-32.976999999999997</v>
      </c>
      <c r="BI7" s="9">
        <v>90.676000000000002</v>
      </c>
      <c r="BJ7" s="9">
        <v>14.952</v>
      </c>
      <c r="BK7" s="9">
        <v>2145.7730000000001</v>
      </c>
      <c r="BL7" s="9">
        <v>64.254999999999995</v>
      </c>
      <c r="BM7" s="9">
        <v>-35.036999999999999</v>
      </c>
      <c r="BN7" s="9">
        <v>-5.9619999999999997</v>
      </c>
      <c r="BO7" s="9">
        <v>2.0880000000000001</v>
      </c>
      <c r="BP7" s="9">
        <v>2171.116</v>
      </c>
      <c r="BQ7" s="9">
        <v>61.311999999999998</v>
      </c>
      <c r="BR7" s="9">
        <v>-35.734000000000002</v>
      </c>
      <c r="BS7" s="9">
        <v>-57.999000000000002</v>
      </c>
      <c r="BT7" s="9">
        <v>0.80500000000000005</v>
      </c>
      <c r="BU7" s="9">
        <v>2139.5</v>
      </c>
      <c r="BV7" s="9">
        <v>58.796999999999997</v>
      </c>
      <c r="BW7" s="9">
        <v>-36.024000000000001</v>
      </c>
      <c r="BX7" s="9">
        <v>-31.442</v>
      </c>
      <c r="BY7" s="9">
        <v>2.68</v>
      </c>
      <c r="BZ7" s="9">
        <v>2133.511</v>
      </c>
      <c r="CA7" s="9">
        <v>62.893999999999998</v>
      </c>
      <c r="CB7" s="9">
        <v>-36.484999999999999</v>
      </c>
      <c r="CC7" s="9">
        <v>23.352</v>
      </c>
      <c r="CD7" s="9">
        <v>3.5870000000000002</v>
      </c>
      <c r="CE7" s="9">
        <v>2186.8589999999999</v>
      </c>
      <c r="CF7" s="9">
        <v>63.817</v>
      </c>
      <c r="CG7" s="9">
        <v>-36.396999999999998</v>
      </c>
      <c r="CH7" s="9">
        <v>-35.813000000000002</v>
      </c>
      <c r="CI7" s="9">
        <v>3.403</v>
      </c>
      <c r="CJ7" s="9">
        <v>2181.8690000000001</v>
      </c>
      <c r="CK7" s="9">
        <v>63.947000000000003</v>
      </c>
      <c r="CL7" s="9">
        <v>-36.801000000000002</v>
      </c>
      <c r="CM7" s="9">
        <v>18.331</v>
      </c>
      <c r="CN7" s="9">
        <v>3.3380000000000001</v>
      </c>
      <c r="CO7" s="9">
        <v>2230.6849999999999</v>
      </c>
      <c r="CP7" s="9">
        <v>66.138999999999996</v>
      </c>
      <c r="CQ7" s="9">
        <v>-37.838999999999999</v>
      </c>
      <c r="CR7" s="9">
        <v>11.028</v>
      </c>
      <c r="CS7" s="9">
        <v>0.98599999999999999</v>
      </c>
      <c r="CT7" s="9">
        <v>2270.9989999999998</v>
      </c>
      <c r="CU7" s="9">
        <v>70.727999999999994</v>
      </c>
      <c r="CV7" s="9">
        <v>-38.753</v>
      </c>
      <c r="CW7" s="9">
        <v>94.180999999999997</v>
      </c>
      <c r="CX7" s="9">
        <v>3.2429999999999999</v>
      </c>
      <c r="CY7" s="9">
        <v>2400.3989999999999</v>
      </c>
      <c r="CZ7" s="9">
        <v>76.510999999999996</v>
      </c>
      <c r="DA7" s="9">
        <v>-39.722999999999999</v>
      </c>
      <c r="DB7" s="9">
        <v>213.941</v>
      </c>
      <c r="DC7" s="9">
        <v>4.2130000000000001</v>
      </c>
      <c r="DD7" s="9">
        <v>2655.34</v>
      </c>
      <c r="DE7" s="9">
        <v>78.564999999999998</v>
      </c>
      <c r="DF7" s="9">
        <v>-41.404000000000003</v>
      </c>
      <c r="DG7" s="9">
        <v>226.749</v>
      </c>
      <c r="DH7" s="9">
        <v>10.394</v>
      </c>
      <c r="DI7" s="9">
        <v>2929.6439999999998</v>
      </c>
      <c r="DJ7" s="9">
        <v>82.84</v>
      </c>
      <c r="DK7" s="9">
        <v>-43.332000000000001</v>
      </c>
      <c r="DL7" s="9">
        <v>232.292</v>
      </c>
      <c r="DM7" s="9">
        <v>14.173999999999999</v>
      </c>
      <c r="DN7" s="9">
        <v>3215.616</v>
      </c>
      <c r="DO7" s="9">
        <v>86.34</v>
      </c>
      <c r="DP7" s="9">
        <v>-45.262</v>
      </c>
      <c r="DQ7" s="9">
        <v>348.10199999999998</v>
      </c>
      <c r="DR7" s="9">
        <v>18.936</v>
      </c>
      <c r="DS7" s="9">
        <v>3623.73</v>
      </c>
      <c r="DT7" s="9">
        <v>90.962000000000003</v>
      </c>
      <c r="DU7" s="9">
        <v>-47.459000000000003</v>
      </c>
      <c r="DV7" s="9">
        <v>484.64699999999999</v>
      </c>
      <c r="DW7" s="9">
        <v>18.898</v>
      </c>
      <c r="DX7" s="9">
        <v>4170.7749999999996</v>
      </c>
      <c r="DY7" s="9">
        <v>101.039</v>
      </c>
      <c r="DZ7" s="9">
        <v>-50.563000000000002</v>
      </c>
      <c r="EA7" s="9">
        <v>646.31100000000004</v>
      </c>
      <c r="EB7" s="9">
        <v>30.21</v>
      </c>
      <c r="EC7" s="9">
        <v>4897.7740000000003</v>
      </c>
      <c r="ED7" s="9">
        <v>105.096</v>
      </c>
      <c r="EE7" s="9">
        <v>-53.725000000000001</v>
      </c>
      <c r="EF7" s="9">
        <v>718.75</v>
      </c>
      <c r="EG7" s="9">
        <v>32.863</v>
      </c>
      <c r="EH7" s="9">
        <v>5700.7579999999998</v>
      </c>
      <c r="EI7" s="9">
        <v>115.884</v>
      </c>
      <c r="EJ7" s="9">
        <v>-57.561</v>
      </c>
      <c r="EK7" s="9">
        <v>535.71400000000006</v>
      </c>
      <c r="EL7" s="9">
        <v>33.488999999999997</v>
      </c>
      <c r="EM7" s="9">
        <v>6328.2830000000004</v>
      </c>
      <c r="EN7" s="9">
        <v>123.66200000000001</v>
      </c>
      <c r="EO7" s="9">
        <v>-61.478999999999999</v>
      </c>
      <c r="EP7" s="9">
        <v>284.83199999999999</v>
      </c>
      <c r="EQ7" s="9">
        <v>93.927999999999997</v>
      </c>
      <c r="ER7" s="9">
        <v>6769.2259999999997</v>
      </c>
      <c r="ES7" s="9">
        <v>126.926</v>
      </c>
      <c r="ET7" s="9">
        <v>-65.843999999999994</v>
      </c>
      <c r="EU7" s="9">
        <v>-379.00700000000001</v>
      </c>
      <c r="EV7" s="9">
        <v>37.753</v>
      </c>
      <c r="EW7" s="9">
        <v>6489.0519999999997</v>
      </c>
      <c r="EX7" s="9">
        <v>108.429</v>
      </c>
      <c r="EY7" s="9">
        <v>-65.453999999999994</v>
      </c>
      <c r="EZ7" s="9">
        <v>-68.760999999999996</v>
      </c>
      <c r="FA7" s="9">
        <v>-18.126000000000001</v>
      </c>
      <c r="FB7" s="9">
        <v>6445.14</v>
      </c>
      <c r="FC7" s="9">
        <v>112.626</v>
      </c>
      <c r="FD7" s="9">
        <v>-67.435000000000002</v>
      </c>
      <c r="FE7" s="9">
        <v>514.399</v>
      </c>
      <c r="FF7" s="9">
        <v>8.1690000000000005</v>
      </c>
      <c r="FG7" s="9">
        <v>7012.8990000000003</v>
      </c>
      <c r="FH7" s="9">
        <v>117.727</v>
      </c>
      <c r="FI7" s="9">
        <v>-69.453999999999994</v>
      </c>
      <c r="FJ7" s="9">
        <v>185.511</v>
      </c>
      <c r="FK7" s="9">
        <v>39.609000000000002</v>
      </c>
      <c r="FL7" s="9">
        <v>7286.2889999999998</v>
      </c>
      <c r="FM7" s="9">
        <v>116.56399999999999</v>
      </c>
      <c r="FN7" s="9">
        <v>-70.355999999999995</v>
      </c>
      <c r="FO7" s="9">
        <v>-143.00800000000001</v>
      </c>
      <c r="FP7" s="9">
        <v>41.396999999999998</v>
      </c>
      <c r="FQ7" s="9">
        <v>7230.8860000000004</v>
      </c>
      <c r="FR7" s="9">
        <v>116.684</v>
      </c>
      <c r="FS7" s="9">
        <v>-70.445999999999998</v>
      </c>
      <c r="FT7" s="9">
        <v>-146.94499999999999</v>
      </c>
      <c r="FU7" s="9">
        <v>55.48</v>
      </c>
      <c r="FV7" s="9">
        <v>7185.6589999999997</v>
      </c>
      <c r="FW7" s="9">
        <v>115.84099999999999</v>
      </c>
      <c r="FX7" s="9">
        <v>-72.278000000000006</v>
      </c>
      <c r="FY7" s="9">
        <v>-160.488</v>
      </c>
      <c r="FZ7" s="9">
        <v>37.631999999999998</v>
      </c>
      <c r="GA7" s="9">
        <v>7106.3609999999999</v>
      </c>
      <c r="GB7" s="9">
        <v>116.111</v>
      </c>
      <c r="GC7" s="9">
        <v>-73.150999999999996</v>
      </c>
      <c r="GD7" s="9">
        <v>-17.823</v>
      </c>
      <c r="GE7" s="9">
        <v>36.213999999999999</v>
      </c>
      <c r="GF7" s="9">
        <v>7167.7110000000002</v>
      </c>
      <c r="GG7" s="9">
        <v>120.11499999999999</v>
      </c>
      <c r="GH7" s="9">
        <v>-74.180999999999997</v>
      </c>
      <c r="GI7" s="9">
        <v>148.089</v>
      </c>
      <c r="GJ7" s="9">
        <v>35.243000000000002</v>
      </c>
      <c r="GK7" s="9">
        <v>7396.9740000000002</v>
      </c>
      <c r="GL7" s="9">
        <v>129.62200000000001</v>
      </c>
      <c r="GM7" s="9">
        <v>-77.468000000000004</v>
      </c>
      <c r="GN7" s="9">
        <v>225.227</v>
      </c>
      <c r="GO7" s="9">
        <v>51.033999999999999</v>
      </c>
      <c r="GP7" s="9">
        <v>7725.384</v>
      </c>
      <c r="GQ7" s="9">
        <v>136.07499999999999</v>
      </c>
      <c r="GR7" s="9">
        <v>-81.210999999999999</v>
      </c>
      <c r="GS7" s="9">
        <v>226.32499999999999</v>
      </c>
      <c r="GT7" s="9">
        <v>53.104999999999997</v>
      </c>
      <c r="GU7" s="9">
        <v>8059.674</v>
      </c>
      <c r="GV7" s="9">
        <v>142.51900000000001</v>
      </c>
      <c r="GW7" s="9">
        <v>-85.765000000000001</v>
      </c>
      <c r="GX7" s="9">
        <v>282.59800000000001</v>
      </c>
      <c r="GY7" s="9">
        <v>76.795000000000002</v>
      </c>
      <c r="GZ7" s="9">
        <v>8475.8169999999991</v>
      </c>
      <c r="HA7" s="9">
        <v>136.93700000000001</v>
      </c>
      <c r="HB7" s="9">
        <v>-89.972999999999999</v>
      </c>
      <c r="HC7" s="9">
        <v>432.48099999999999</v>
      </c>
      <c r="HD7" s="9">
        <v>72.781999999999996</v>
      </c>
      <c r="HE7" s="9">
        <v>9028.0409999999993</v>
      </c>
      <c r="HF7" s="9">
        <v>163.6</v>
      </c>
      <c r="HG7" s="9">
        <v>-96.945999999999998</v>
      </c>
      <c r="HH7" s="9">
        <v>558.70399999999995</v>
      </c>
      <c r="HI7" s="9">
        <v>82.941000000000003</v>
      </c>
      <c r="HJ7" s="9">
        <v>9736.3379999999997</v>
      </c>
      <c r="HK7" s="9">
        <v>170.87899999999999</v>
      </c>
      <c r="HL7" s="9">
        <v>-106.42400000000001</v>
      </c>
      <c r="HM7" s="9">
        <v>346.93299999999999</v>
      </c>
      <c r="HN7" s="9">
        <v>87.293999999999997</v>
      </c>
      <c r="HO7" s="9">
        <v>10235.022999999999</v>
      </c>
      <c r="HP7" s="9">
        <v>160.34</v>
      </c>
      <c r="HQ7" s="9">
        <v>-109.65</v>
      </c>
      <c r="HR7" s="9">
        <v>-425.358</v>
      </c>
      <c r="HS7" s="9">
        <v>71.132999999999996</v>
      </c>
      <c r="HT7" s="9">
        <v>9931.491</v>
      </c>
      <c r="HU7" s="9">
        <v>150.69</v>
      </c>
      <c r="HV7" s="9">
        <v>-108.746</v>
      </c>
      <c r="HW7" s="9">
        <v>-183.90700000000001</v>
      </c>
      <c r="HX7" s="9">
        <v>78.248999999999995</v>
      </c>
      <c r="HY7" s="9">
        <v>9867.7780000000002</v>
      </c>
    </row>
    <row r="8" spans="1:233" x14ac:dyDescent="0.35">
      <c r="A8" s="12" t="s">
        <v>260</v>
      </c>
      <c r="B8" s="12" t="s">
        <v>261</v>
      </c>
      <c r="C8" s="9">
        <v>486.39299999999997</v>
      </c>
      <c r="D8" s="9">
        <v>36.034999999999997</v>
      </c>
      <c r="E8" s="9">
        <v>-12.997</v>
      </c>
      <c r="F8" s="9">
        <v>62.351999999999997</v>
      </c>
      <c r="H8" s="9">
        <v>571.78300000000002</v>
      </c>
      <c r="I8" s="9">
        <v>41.351999999999997</v>
      </c>
      <c r="J8" s="9">
        <v>-15.577</v>
      </c>
      <c r="K8" s="9">
        <v>66.971000000000004</v>
      </c>
      <c r="M8" s="9">
        <v>664.52800000000002</v>
      </c>
      <c r="N8" s="9">
        <v>42.790999999999997</v>
      </c>
      <c r="O8" s="9">
        <v>-17.875</v>
      </c>
      <c r="P8" s="9">
        <v>68.281000000000006</v>
      </c>
      <c r="R8" s="9">
        <v>757.72400000000005</v>
      </c>
      <c r="S8" s="9">
        <v>45.448999999999998</v>
      </c>
      <c r="T8" s="9">
        <v>-20.492999999999999</v>
      </c>
      <c r="U8" s="9">
        <v>77.691000000000003</v>
      </c>
      <c r="W8" s="9">
        <v>860.37099999999998</v>
      </c>
      <c r="X8" s="9">
        <v>46.665999999999997</v>
      </c>
      <c r="Y8" s="9">
        <v>-22.4</v>
      </c>
      <c r="Z8" s="9">
        <v>68.811000000000007</v>
      </c>
      <c r="AB8" s="9">
        <v>953.44500000000005</v>
      </c>
      <c r="AC8" s="9">
        <v>48.472000000000001</v>
      </c>
      <c r="AD8" s="9">
        <v>-23.945</v>
      </c>
      <c r="AE8" s="9">
        <v>43.179000000000002</v>
      </c>
      <c r="AG8" s="9">
        <v>1021.148</v>
      </c>
      <c r="AH8" s="9">
        <v>47.493000000000002</v>
      </c>
      <c r="AI8" s="9">
        <v>-24.901</v>
      </c>
      <c r="AJ8" s="9">
        <v>30.129000000000001</v>
      </c>
      <c r="AL8" s="9">
        <v>1073.8689999999999</v>
      </c>
      <c r="AM8" s="9">
        <v>50.406999999999996</v>
      </c>
      <c r="AN8" s="9">
        <v>-25.942</v>
      </c>
      <c r="AO8" s="9">
        <v>35.182000000000002</v>
      </c>
      <c r="AQ8" s="9">
        <v>1133.5160000000001</v>
      </c>
      <c r="AR8" s="9">
        <v>55.567</v>
      </c>
      <c r="AS8" s="9">
        <v>-27.204000000000001</v>
      </c>
      <c r="AT8" s="9">
        <v>40.57</v>
      </c>
      <c r="AV8" s="9">
        <v>1202.4449999999999</v>
      </c>
      <c r="AW8" s="9">
        <v>60.749000000000002</v>
      </c>
      <c r="AX8" s="9">
        <v>-28.902000000000001</v>
      </c>
      <c r="AY8" s="9">
        <v>36.942999999999998</v>
      </c>
      <c r="BA8" s="9">
        <v>1271.2349999999999</v>
      </c>
      <c r="BB8" s="9">
        <v>67.686000000000007</v>
      </c>
      <c r="BC8" s="9">
        <v>-30.882000000000001</v>
      </c>
      <c r="BD8" s="9">
        <v>34.648000000000003</v>
      </c>
      <c r="BF8" s="9">
        <v>1342.6859999999999</v>
      </c>
      <c r="BG8" s="9">
        <v>68.551000000000002</v>
      </c>
      <c r="BH8" s="9">
        <v>-32.976999999999997</v>
      </c>
      <c r="BI8" s="9">
        <v>44.301000000000002</v>
      </c>
      <c r="BK8" s="9">
        <v>1422.5609999999999</v>
      </c>
      <c r="BL8" s="9">
        <v>65.381</v>
      </c>
      <c r="BM8" s="9">
        <v>-35.036999999999999</v>
      </c>
      <c r="BN8" s="9">
        <v>31.393000000000001</v>
      </c>
      <c r="BP8" s="9">
        <v>1484.298</v>
      </c>
      <c r="BQ8" s="9">
        <v>62.218000000000004</v>
      </c>
      <c r="BR8" s="9">
        <v>-35.734000000000002</v>
      </c>
      <c r="BS8" s="9">
        <v>13.166</v>
      </c>
      <c r="BU8" s="9">
        <v>1523.9480000000001</v>
      </c>
      <c r="BV8" s="9">
        <v>59.564999999999998</v>
      </c>
      <c r="BW8" s="9">
        <v>-36.024000000000001</v>
      </c>
      <c r="BX8" s="9">
        <v>13.324</v>
      </c>
      <c r="BZ8" s="9">
        <v>1560.8130000000001</v>
      </c>
      <c r="CA8" s="9">
        <v>63.369</v>
      </c>
      <c r="CB8" s="9">
        <v>-36.484999999999999</v>
      </c>
      <c r="CC8" s="9">
        <v>9.782</v>
      </c>
      <c r="CE8" s="9">
        <v>1597.4780000000001</v>
      </c>
      <c r="CF8" s="9">
        <v>64.825000000000003</v>
      </c>
      <c r="CG8" s="9">
        <v>-36.396999999999998</v>
      </c>
      <c r="CH8" s="9">
        <v>20.186</v>
      </c>
      <c r="CJ8" s="9">
        <v>1646.0909999999999</v>
      </c>
      <c r="CK8" s="9">
        <v>64.715000000000003</v>
      </c>
      <c r="CL8" s="9">
        <v>-36.801000000000002</v>
      </c>
      <c r="CM8" s="9">
        <v>30.497</v>
      </c>
      <c r="CO8" s="9">
        <v>1704.501</v>
      </c>
      <c r="CP8" s="9">
        <v>67.828000000000003</v>
      </c>
      <c r="CQ8" s="9">
        <v>-37.838999999999999</v>
      </c>
      <c r="CR8" s="9">
        <v>23.442</v>
      </c>
      <c r="CT8" s="9">
        <v>1757.932</v>
      </c>
      <c r="CU8" s="9">
        <v>72.381</v>
      </c>
      <c r="CV8" s="9">
        <v>-38.753</v>
      </c>
      <c r="CW8" s="9">
        <v>15.817</v>
      </c>
      <c r="CY8" s="9">
        <v>1807.3789999999999</v>
      </c>
      <c r="CZ8" s="9">
        <v>78.152000000000001</v>
      </c>
      <c r="DA8" s="9">
        <v>-39.722999999999999</v>
      </c>
      <c r="DB8" s="9">
        <v>26.196000000000002</v>
      </c>
      <c r="DC8" s="9">
        <v>-0.83699999999999997</v>
      </c>
      <c r="DD8" s="9">
        <v>1871.1669999999999</v>
      </c>
      <c r="DE8" s="9">
        <v>81.241</v>
      </c>
      <c r="DF8" s="9">
        <v>-41.404000000000003</v>
      </c>
      <c r="DG8" s="9">
        <v>48.597000000000001</v>
      </c>
      <c r="DH8" s="9">
        <v>0</v>
      </c>
      <c r="DI8" s="9">
        <v>1959.6010000000001</v>
      </c>
      <c r="DJ8" s="9">
        <v>84.652000000000001</v>
      </c>
      <c r="DK8" s="9">
        <v>-43.332000000000001</v>
      </c>
      <c r="DL8" s="9">
        <v>68.811999999999998</v>
      </c>
      <c r="DM8" s="9">
        <v>0</v>
      </c>
      <c r="DN8" s="9">
        <v>2069.7310000000002</v>
      </c>
      <c r="DO8" s="9">
        <v>88.516000000000005</v>
      </c>
      <c r="DP8" s="9">
        <v>-45.262</v>
      </c>
      <c r="DQ8" s="9">
        <v>63.642000000000003</v>
      </c>
      <c r="DR8" s="9">
        <v>0</v>
      </c>
      <c r="DS8" s="9">
        <v>2176.625</v>
      </c>
      <c r="DT8" s="9">
        <v>93.087000000000003</v>
      </c>
      <c r="DU8" s="9">
        <v>-47.459000000000003</v>
      </c>
      <c r="DV8" s="9">
        <v>77.415999999999997</v>
      </c>
      <c r="DW8" s="9">
        <v>0</v>
      </c>
      <c r="DX8" s="9">
        <v>2299.6680000000001</v>
      </c>
      <c r="DY8" s="9">
        <v>103.619</v>
      </c>
      <c r="DZ8" s="9">
        <v>-50.563000000000002</v>
      </c>
      <c r="EA8" s="9">
        <v>97.994</v>
      </c>
      <c r="EB8" s="9">
        <v>0</v>
      </c>
      <c r="EC8" s="9">
        <v>2450.7190000000001</v>
      </c>
      <c r="ED8" s="9">
        <v>107.98099999999999</v>
      </c>
      <c r="EE8" s="9">
        <v>-53.725000000000001</v>
      </c>
      <c r="EF8" s="9">
        <v>106.23</v>
      </c>
      <c r="EG8" s="9">
        <v>0</v>
      </c>
      <c r="EH8" s="9">
        <v>2611.2049999999999</v>
      </c>
      <c r="EI8" s="9">
        <v>119.303</v>
      </c>
      <c r="EJ8" s="9">
        <v>-57.561</v>
      </c>
      <c r="EK8" s="9">
        <v>108.834</v>
      </c>
      <c r="EL8" s="9">
        <v>0</v>
      </c>
      <c r="EM8" s="9">
        <v>2781.78</v>
      </c>
      <c r="EN8" s="9">
        <v>127.655</v>
      </c>
      <c r="EO8" s="9">
        <v>-61.478999999999999</v>
      </c>
      <c r="EP8" s="9">
        <v>112.024</v>
      </c>
      <c r="EQ8" s="9">
        <v>0</v>
      </c>
      <c r="ER8" s="9">
        <v>2959.98</v>
      </c>
      <c r="ES8" s="9">
        <v>129.82900000000001</v>
      </c>
      <c r="ET8" s="9">
        <v>-65.843999999999994</v>
      </c>
      <c r="EU8" s="9">
        <v>59.683</v>
      </c>
      <c r="EV8" s="9">
        <v>0</v>
      </c>
      <c r="EW8" s="9">
        <v>3083.6460000000002</v>
      </c>
      <c r="EX8" s="9">
        <v>111.99</v>
      </c>
      <c r="EY8" s="9">
        <v>-65.453999999999994</v>
      </c>
      <c r="EZ8" s="9">
        <v>35.999000000000002</v>
      </c>
      <c r="FA8" s="9">
        <v>-0.17299999999999999</v>
      </c>
      <c r="FB8" s="9">
        <v>3166.0079999999998</v>
      </c>
      <c r="FC8" s="9">
        <v>115.78</v>
      </c>
      <c r="FD8" s="9">
        <v>-67.435000000000002</v>
      </c>
      <c r="FE8" s="9">
        <v>87.028000000000006</v>
      </c>
      <c r="FG8" s="9">
        <v>3301.3809999999999</v>
      </c>
      <c r="FH8" s="9">
        <v>121.61</v>
      </c>
      <c r="FI8" s="9">
        <v>-69.453999999999994</v>
      </c>
      <c r="FJ8" s="9">
        <v>72.019000000000005</v>
      </c>
      <c r="FL8" s="9">
        <v>3425.5529999999999</v>
      </c>
      <c r="FM8" s="9">
        <v>120.515</v>
      </c>
      <c r="FN8" s="9">
        <v>-70.355999999999995</v>
      </c>
      <c r="FO8" s="9">
        <v>25.963999999999999</v>
      </c>
      <c r="FQ8" s="9">
        <v>3501.6759999999999</v>
      </c>
      <c r="FR8" s="9">
        <v>120.093</v>
      </c>
      <c r="FS8" s="9">
        <v>-70.445999999999998</v>
      </c>
      <c r="FT8" s="9">
        <v>29.36</v>
      </c>
      <c r="FV8" s="9">
        <v>3580.683</v>
      </c>
      <c r="FW8" s="9">
        <v>119.506</v>
      </c>
      <c r="FX8" s="9">
        <v>-72.278000000000006</v>
      </c>
      <c r="FY8" s="9">
        <v>25.385000000000002</v>
      </c>
      <c r="GA8" s="9">
        <v>3653.2910000000002</v>
      </c>
      <c r="GB8" s="9">
        <v>119.455</v>
      </c>
      <c r="GC8" s="9">
        <v>-73.150999999999996</v>
      </c>
      <c r="GD8" s="9">
        <v>-2.4409999999999998</v>
      </c>
      <c r="GF8" s="9">
        <v>3697.152</v>
      </c>
      <c r="GG8" s="9">
        <v>123.27800000000001</v>
      </c>
      <c r="GH8" s="9">
        <v>-74.180999999999997</v>
      </c>
      <c r="GI8" s="9">
        <v>38.112000000000002</v>
      </c>
      <c r="GK8" s="9">
        <v>3784.357</v>
      </c>
      <c r="GL8" s="9">
        <v>133.084</v>
      </c>
      <c r="GM8" s="9">
        <v>-77.468000000000004</v>
      </c>
      <c r="GN8" s="9">
        <v>70.364000000000004</v>
      </c>
      <c r="GP8" s="9">
        <v>3910.3319999999999</v>
      </c>
      <c r="GQ8" s="9">
        <v>139.536</v>
      </c>
      <c r="GR8" s="9">
        <v>-81.210999999999999</v>
      </c>
      <c r="GS8" s="9">
        <v>66.700999999999993</v>
      </c>
      <c r="GU8" s="9">
        <v>4035.3519999999999</v>
      </c>
      <c r="GV8" s="9">
        <v>146.24</v>
      </c>
      <c r="GW8" s="9">
        <v>-85.765000000000001</v>
      </c>
      <c r="GX8" s="9">
        <v>50.654000000000003</v>
      </c>
      <c r="GZ8" s="9">
        <v>4146.4769999999999</v>
      </c>
      <c r="HA8" s="9">
        <v>139.78299999999999</v>
      </c>
      <c r="HB8" s="9">
        <v>-89.972999999999999</v>
      </c>
      <c r="HC8" s="9">
        <v>117.289</v>
      </c>
      <c r="HE8" s="9">
        <v>4313.5720000000001</v>
      </c>
      <c r="HF8" s="9">
        <v>166.66399999999999</v>
      </c>
      <c r="HG8" s="9">
        <v>-96.945999999999998</v>
      </c>
      <c r="HH8" s="9">
        <v>318.25799999999998</v>
      </c>
      <c r="HJ8" s="9">
        <v>4701.5450000000001</v>
      </c>
      <c r="HK8" s="9">
        <v>173.702</v>
      </c>
      <c r="HL8" s="9">
        <v>-106.42400000000001</v>
      </c>
      <c r="HM8" s="9">
        <v>298.29899999999998</v>
      </c>
      <c r="HO8" s="9">
        <v>5067.1260000000002</v>
      </c>
      <c r="HP8" s="9">
        <v>163.83199999999999</v>
      </c>
      <c r="HQ8" s="9">
        <v>-109.65</v>
      </c>
      <c r="HR8" s="9">
        <v>84.754999999999995</v>
      </c>
      <c r="HT8" s="9">
        <v>5206.0649999999996</v>
      </c>
      <c r="HU8" s="9">
        <v>154.68299999999999</v>
      </c>
      <c r="HV8" s="9">
        <v>-108.746</v>
      </c>
      <c r="HW8" s="9">
        <v>9.8130000000000006</v>
      </c>
      <c r="HY8" s="9">
        <v>5261.817</v>
      </c>
    </row>
    <row r="9" spans="1:233" x14ac:dyDescent="0.35">
      <c r="A9" s="12" t="s">
        <v>262</v>
      </c>
      <c r="B9" s="12" t="s">
        <v>263</v>
      </c>
      <c r="C9" s="9">
        <v>434.72899999999998</v>
      </c>
      <c r="D9" s="9">
        <v>34.881999999999998</v>
      </c>
      <c r="E9" s="9">
        <v>-12.997</v>
      </c>
      <c r="F9" s="9">
        <v>56.012999999999998</v>
      </c>
      <c r="H9" s="9">
        <v>512.62599999999998</v>
      </c>
      <c r="I9" s="9">
        <v>40.116999999999997</v>
      </c>
      <c r="J9" s="9">
        <v>-15.577</v>
      </c>
      <c r="K9" s="9">
        <v>64.025999999999996</v>
      </c>
      <c r="M9" s="9">
        <v>601.19100000000003</v>
      </c>
      <c r="N9" s="9">
        <v>42.884</v>
      </c>
      <c r="O9" s="9">
        <v>-17.875</v>
      </c>
      <c r="P9" s="9">
        <v>69.224000000000004</v>
      </c>
      <c r="R9" s="9">
        <v>695.42399999999998</v>
      </c>
      <c r="S9" s="9">
        <v>45.21</v>
      </c>
      <c r="T9" s="9">
        <v>-20.492999999999999</v>
      </c>
      <c r="U9" s="9">
        <v>71.674999999999997</v>
      </c>
      <c r="W9" s="9">
        <v>791.81500000000005</v>
      </c>
      <c r="X9" s="9">
        <v>46.871000000000002</v>
      </c>
      <c r="Y9" s="9">
        <v>-22.4</v>
      </c>
      <c r="Z9" s="9">
        <v>57.49</v>
      </c>
      <c r="AB9" s="9">
        <v>873.774</v>
      </c>
      <c r="AC9" s="9">
        <v>48.151000000000003</v>
      </c>
      <c r="AD9" s="9">
        <v>-23.945</v>
      </c>
      <c r="AE9" s="9">
        <v>45.856999999999999</v>
      </c>
      <c r="AG9" s="9">
        <v>943.83399999999995</v>
      </c>
      <c r="AH9" s="9">
        <v>48.186999999999998</v>
      </c>
      <c r="AI9" s="9">
        <v>-24.901</v>
      </c>
      <c r="AJ9" s="9">
        <v>34.927</v>
      </c>
      <c r="AL9" s="9">
        <v>1002.048</v>
      </c>
      <c r="AM9" s="9">
        <v>50.59</v>
      </c>
      <c r="AN9" s="9">
        <v>-25.942</v>
      </c>
      <c r="AO9" s="9">
        <v>35.353000000000002</v>
      </c>
      <c r="AQ9" s="9">
        <v>1062.048</v>
      </c>
      <c r="AR9" s="9">
        <v>54.313000000000002</v>
      </c>
      <c r="AS9" s="9">
        <v>-27.204000000000001</v>
      </c>
      <c r="AT9" s="9">
        <v>40.277999999999999</v>
      </c>
      <c r="AV9" s="9">
        <v>1129.432</v>
      </c>
      <c r="AW9" s="9">
        <v>59.393000000000001</v>
      </c>
      <c r="AX9" s="9">
        <v>-28.902000000000001</v>
      </c>
      <c r="AY9" s="9">
        <v>40.731999999999999</v>
      </c>
      <c r="BA9" s="9">
        <v>1200.655</v>
      </c>
      <c r="BB9" s="9">
        <v>66.141000000000005</v>
      </c>
      <c r="BC9" s="9">
        <v>-30.882000000000001</v>
      </c>
      <c r="BD9" s="9">
        <v>40.970999999999997</v>
      </c>
      <c r="BF9" s="9">
        <v>1276.883</v>
      </c>
      <c r="BG9" s="9">
        <v>67.084000000000003</v>
      </c>
      <c r="BH9" s="9">
        <v>-32.976999999999997</v>
      </c>
      <c r="BI9" s="9">
        <v>49.664999999999999</v>
      </c>
      <c r="BK9" s="9">
        <v>1360.6559999999999</v>
      </c>
      <c r="BL9" s="9">
        <v>64.256</v>
      </c>
      <c r="BM9" s="9">
        <v>-35.036999999999999</v>
      </c>
      <c r="BN9" s="9">
        <v>35.307000000000002</v>
      </c>
      <c r="BP9" s="9">
        <v>1425.182</v>
      </c>
      <c r="BQ9" s="9">
        <v>61.625999999999998</v>
      </c>
      <c r="BR9" s="9">
        <v>-35.734000000000002</v>
      </c>
      <c r="BS9" s="9">
        <v>15.379</v>
      </c>
      <c r="BU9" s="9">
        <v>1466.453</v>
      </c>
      <c r="BV9" s="9">
        <v>59.08</v>
      </c>
      <c r="BW9" s="9">
        <v>-36.024000000000001</v>
      </c>
      <c r="BX9" s="9">
        <v>12.724</v>
      </c>
      <c r="BZ9" s="9">
        <v>1502.232</v>
      </c>
      <c r="CA9" s="9">
        <v>62.420999999999999</v>
      </c>
      <c r="CB9" s="9">
        <v>-36.484999999999999</v>
      </c>
      <c r="CC9" s="9">
        <v>11.528</v>
      </c>
      <c r="CE9" s="9">
        <v>1539.694</v>
      </c>
      <c r="CF9" s="9">
        <v>63.582999999999998</v>
      </c>
      <c r="CG9" s="9">
        <v>-36.396999999999998</v>
      </c>
      <c r="CH9" s="9">
        <v>20.728000000000002</v>
      </c>
      <c r="CJ9" s="9">
        <v>1587.6079999999999</v>
      </c>
      <c r="CK9" s="9">
        <v>63.713999999999999</v>
      </c>
      <c r="CL9" s="9">
        <v>-36.801000000000002</v>
      </c>
      <c r="CM9" s="9">
        <v>30.765000000000001</v>
      </c>
      <c r="CO9" s="9">
        <v>1645.2860000000001</v>
      </c>
      <c r="CP9" s="9">
        <v>67.096999999999994</v>
      </c>
      <c r="CQ9" s="9">
        <v>-37.838999999999999</v>
      </c>
      <c r="CR9" s="9">
        <v>25.695</v>
      </c>
      <c r="CT9" s="9">
        <v>1700.239</v>
      </c>
      <c r="CU9" s="9">
        <v>71.043000000000006</v>
      </c>
      <c r="CV9" s="9">
        <v>-38.753</v>
      </c>
      <c r="CW9" s="9">
        <v>15.494</v>
      </c>
      <c r="CY9" s="9">
        <v>1748.0239999999999</v>
      </c>
      <c r="CZ9" s="9">
        <v>76.503</v>
      </c>
      <c r="DA9" s="9">
        <v>-39.722999999999999</v>
      </c>
      <c r="DB9" s="9">
        <v>18.663</v>
      </c>
      <c r="DD9" s="9">
        <v>1803.4670000000001</v>
      </c>
      <c r="DE9" s="9">
        <v>79.712999999999994</v>
      </c>
      <c r="DF9" s="9">
        <v>-41.404000000000003</v>
      </c>
      <c r="DG9" s="9">
        <v>40.625</v>
      </c>
      <c r="DI9" s="9">
        <v>1882.4</v>
      </c>
      <c r="DJ9" s="9">
        <v>82.438999999999993</v>
      </c>
      <c r="DK9" s="9">
        <v>-43.332000000000001</v>
      </c>
      <c r="DL9" s="9">
        <v>56.512999999999998</v>
      </c>
      <c r="DN9" s="9">
        <v>1978.018</v>
      </c>
      <c r="DO9" s="9">
        <v>86.718000000000004</v>
      </c>
      <c r="DP9" s="9">
        <v>-45.262</v>
      </c>
      <c r="DQ9" s="9">
        <v>56.951999999999998</v>
      </c>
      <c r="DS9" s="9">
        <v>2076.4250000000002</v>
      </c>
      <c r="DT9" s="9">
        <v>91.506</v>
      </c>
      <c r="DU9" s="9">
        <v>-47.459000000000003</v>
      </c>
      <c r="DV9" s="9">
        <v>78.459000000000003</v>
      </c>
      <c r="DX9" s="9">
        <v>2198.9299999999998</v>
      </c>
      <c r="DY9" s="9">
        <v>99.043999999999997</v>
      </c>
      <c r="DZ9" s="9">
        <v>-50.563000000000002</v>
      </c>
      <c r="EA9" s="9">
        <v>94.85</v>
      </c>
      <c r="EC9" s="9">
        <v>2342.2620000000002</v>
      </c>
      <c r="ED9" s="9">
        <v>106.658</v>
      </c>
      <c r="EE9" s="9">
        <v>-53.725000000000001</v>
      </c>
      <c r="EF9" s="9">
        <v>92.385999999999996</v>
      </c>
      <c r="EH9" s="9">
        <v>2487.58</v>
      </c>
      <c r="EI9" s="9">
        <v>117.744</v>
      </c>
      <c r="EJ9" s="9">
        <v>-57.561</v>
      </c>
      <c r="EK9" s="9">
        <v>98.543999999999997</v>
      </c>
      <c r="EM9" s="9">
        <v>2646.3069999999998</v>
      </c>
      <c r="EN9" s="9">
        <v>125.968</v>
      </c>
      <c r="EO9" s="9">
        <v>-61.478999999999999</v>
      </c>
      <c r="EP9" s="9">
        <v>113.172</v>
      </c>
      <c r="ER9" s="9">
        <v>2823.9679999999998</v>
      </c>
      <c r="ES9" s="9">
        <v>128.577</v>
      </c>
      <c r="ET9" s="9">
        <v>-65.843999999999994</v>
      </c>
      <c r="EU9" s="9">
        <v>71.105000000000004</v>
      </c>
      <c r="EW9" s="9">
        <v>2957.8040000000001</v>
      </c>
      <c r="EX9" s="9">
        <v>111.746</v>
      </c>
      <c r="EY9" s="9">
        <v>-65.453999999999994</v>
      </c>
      <c r="EZ9" s="9">
        <v>34.134</v>
      </c>
      <c r="FB9" s="9">
        <v>3038.2310000000002</v>
      </c>
      <c r="FC9" s="9">
        <v>115.104</v>
      </c>
      <c r="FD9" s="9">
        <v>-67.435000000000002</v>
      </c>
      <c r="FE9" s="9">
        <v>68.019000000000005</v>
      </c>
      <c r="FG9" s="9">
        <v>3153.9189999999999</v>
      </c>
      <c r="FH9" s="9">
        <v>120.322</v>
      </c>
      <c r="FI9" s="9">
        <v>-69.453999999999994</v>
      </c>
      <c r="FJ9" s="9">
        <v>68.436999999999998</v>
      </c>
      <c r="FL9" s="9">
        <v>3273.221</v>
      </c>
      <c r="FM9" s="9">
        <v>120.238</v>
      </c>
      <c r="FN9" s="9">
        <v>-70.355999999999995</v>
      </c>
      <c r="FO9" s="9">
        <v>30.9</v>
      </c>
      <c r="FQ9" s="9">
        <v>3354.002</v>
      </c>
      <c r="FR9" s="9">
        <v>119.68300000000001</v>
      </c>
      <c r="FS9" s="9">
        <v>-70.445999999999998</v>
      </c>
      <c r="FT9" s="9">
        <v>31.274000000000001</v>
      </c>
      <c r="FV9" s="9">
        <v>3434.5129999999999</v>
      </c>
      <c r="FW9" s="9">
        <v>118.852</v>
      </c>
      <c r="FX9" s="9">
        <v>-72.278000000000006</v>
      </c>
      <c r="FY9" s="9">
        <v>23.690999999999999</v>
      </c>
      <c r="GA9" s="9">
        <v>3504.7719999999999</v>
      </c>
      <c r="GB9" s="9">
        <v>118.08</v>
      </c>
      <c r="GC9" s="9">
        <v>-73.150999999999996</v>
      </c>
      <c r="GD9" s="9">
        <v>0.72199999999999998</v>
      </c>
      <c r="GF9" s="9">
        <v>3550.4209999999998</v>
      </c>
      <c r="GG9" s="9">
        <v>122.315</v>
      </c>
      <c r="GH9" s="9">
        <v>-74.180999999999997</v>
      </c>
      <c r="GI9" s="9">
        <v>37.503</v>
      </c>
      <c r="GK9" s="9">
        <v>3636.0540000000001</v>
      </c>
      <c r="GL9" s="9">
        <v>131.85300000000001</v>
      </c>
      <c r="GM9" s="9">
        <v>-77.468000000000004</v>
      </c>
      <c r="GN9" s="9">
        <v>63.48</v>
      </c>
      <c r="GP9" s="9">
        <v>3753.9140000000002</v>
      </c>
      <c r="GQ9" s="9">
        <v>137.35599999999999</v>
      </c>
      <c r="GR9" s="9">
        <v>-81.210999999999999</v>
      </c>
      <c r="GS9" s="9">
        <v>68.052000000000007</v>
      </c>
      <c r="GU9" s="9">
        <v>3878.1060000000002</v>
      </c>
      <c r="GV9" s="9">
        <v>145.017</v>
      </c>
      <c r="GW9" s="9">
        <v>-85.765000000000001</v>
      </c>
      <c r="GX9" s="9">
        <v>54.320999999999998</v>
      </c>
      <c r="GZ9" s="9">
        <v>3991.6750000000002</v>
      </c>
      <c r="HA9" s="9">
        <v>138.64400000000001</v>
      </c>
      <c r="HB9" s="9">
        <v>-89.972999999999999</v>
      </c>
      <c r="HC9" s="9">
        <v>108.038</v>
      </c>
      <c r="HE9" s="9">
        <v>4148.38</v>
      </c>
      <c r="HF9" s="9">
        <v>164.48699999999999</v>
      </c>
      <c r="HG9" s="9">
        <v>-96.945999999999998</v>
      </c>
      <c r="HH9" s="9">
        <v>284.63900000000001</v>
      </c>
      <c r="HJ9" s="9">
        <v>4500.558</v>
      </c>
      <c r="HK9" s="9">
        <v>170.43700000000001</v>
      </c>
      <c r="HL9" s="9">
        <v>-106.42400000000001</v>
      </c>
      <c r="HM9" s="9">
        <v>278.66800000000001</v>
      </c>
      <c r="HO9" s="9">
        <v>4843.2420000000002</v>
      </c>
      <c r="HP9" s="9">
        <v>161.76599999999999</v>
      </c>
      <c r="HQ9" s="9">
        <v>-109.65</v>
      </c>
      <c r="HR9" s="9">
        <v>91.364000000000004</v>
      </c>
      <c r="HT9" s="9">
        <v>4986.7250000000004</v>
      </c>
      <c r="HU9" s="9">
        <v>153.12200000000001</v>
      </c>
      <c r="HV9" s="9">
        <v>-108.746</v>
      </c>
      <c r="HW9" s="9">
        <v>11.5</v>
      </c>
      <c r="HY9" s="9">
        <v>5042.6030000000001</v>
      </c>
    </row>
    <row r="10" spans="1:233" x14ac:dyDescent="0.35">
      <c r="A10" s="12" t="s">
        <v>264</v>
      </c>
      <c r="B10" s="12" t="s">
        <v>265</v>
      </c>
      <c r="C10" s="9">
        <v>411.214</v>
      </c>
      <c r="D10" s="9">
        <v>31.625</v>
      </c>
      <c r="E10" s="9">
        <v>-10.377000000000001</v>
      </c>
      <c r="F10" s="9">
        <v>53.914999999999999</v>
      </c>
      <c r="H10" s="9">
        <v>486.37799999999999</v>
      </c>
      <c r="I10" s="9">
        <v>36.337000000000003</v>
      </c>
      <c r="J10" s="9">
        <v>-12.487</v>
      </c>
      <c r="K10" s="9">
        <v>60.887</v>
      </c>
      <c r="M10" s="9">
        <v>571.11400000000003</v>
      </c>
      <c r="N10" s="9">
        <v>38.654000000000003</v>
      </c>
      <c r="O10" s="9">
        <v>-14.3</v>
      </c>
      <c r="P10" s="9">
        <v>65.683000000000007</v>
      </c>
      <c r="R10" s="9">
        <v>661.15200000000004</v>
      </c>
      <c r="S10" s="9">
        <v>40.536000000000001</v>
      </c>
      <c r="T10" s="9">
        <v>-16.364999999999998</v>
      </c>
      <c r="U10" s="9">
        <v>67.438999999999993</v>
      </c>
      <c r="W10" s="9">
        <v>752.76199999999994</v>
      </c>
      <c r="X10" s="9">
        <v>42.122</v>
      </c>
      <c r="Y10" s="9">
        <v>-17.939</v>
      </c>
      <c r="Z10" s="9">
        <v>55.566000000000003</v>
      </c>
      <c r="AB10" s="9">
        <v>832.51099999999997</v>
      </c>
      <c r="AC10" s="9">
        <v>43.091000000000001</v>
      </c>
      <c r="AD10" s="9">
        <v>-19.193999999999999</v>
      </c>
      <c r="AE10" s="9">
        <v>44.539000000000001</v>
      </c>
      <c r="AG10" s="9">
        <v>900.94600000000003</v>
      </c>
      <c r="AH10" s="9">
        <v>42.813000000000002</v>
      </c>
      <c r="AI10" s="9">
        <v>-19.95</v>
      </c>
      <c r="AJ10" s="9">
        <v>33.981000000000002</v>
      </c>
      <c r="AL10" s="9">
        <v>957.79100000000005</v>
      </c>
      <c r="AM10" s="9">
        <v>44.865000000000002</v>
      </c>
      <c r="AN10" s="9">
        <v>-20.728999999999999</v>
      </c>
      <c r="AO10" s="9">
        <v>35.253</v>
      </c>
      <c r="AQ10" s="9">
        <v>1017.179</v>
      </c>
      <c r="AR10" s="9">
        <v>48.14</v>
      </c>
      <c r="AS10" s="9">
        <v>-21.78</v>
      </c>
      <c r="AT10" s="9">
        <v>40.098999999999997</v>
      </c>
      <c r="AV10" s="9">
        <v>1083.6369999999999</v>
      </c>
      <c r="AW10" s="9">
        <v>52.673999999999999</v>
      </c>
      <c r="AX10" s="9">
        <v>-23.241</v>
      </c>
      <c r="AY10" s="9">
        <v>38.798000000000002</v>
      </c>
      <c r="BA10" s="9">
        <v>1151.866</v>
      </c>
      <c r="BB10" s="9">
        <v>58.615000000000002</v>
      </c>
      <c r="BC10" s="9">
        <v>-24.885000000000002</v>
      </c>
      <c r="BD10" s="9">
        <v>39.530999999999999</v>
      </c>
      <c r="BF10" s="9">
        <v>1225.126</v>
      </c>
      <c r="BG10" s="9">
        <v>59.594000000000001</v>
      </c>
      <c r="BH10" s="9">
        <v>-26.762</v>
      </c>
      <c r="BI10" s="9">
        <v>49.594000000000001</v>
      </c>
      <c r="BK10" s="9">
        <v>1307.5519999999999</v>
      </c>
      <c r="BL10" s="9">
        <v>57.85</v>
      </c>
      <c r="BM10" s="9">
        <v>-28.577999999999999</v>
      </c>
      <c r="BN10" s="9">
        <v>35.813000000000002</v>
      </c>
      <c r="BP10" s="9">
        <v>1372.6369999999999</v>
      </c>
      <c r="BQ10" s="9">
        <v>55.81</v>
      </c>
      <c r="BR10" s="9">
        <v>-29.364999999999998</v>
      </c>
      <c r="BS10" s="9">
        <v>16.564</v>
      </c>
      <c r="BU10" s="9">
        <v>1415.6469999999999</v>
      </c>
      <c r="BV10" s="9">
        <v>53.741</v>
      </c>
      <c r="BW10" s="9">
        <v>-29.859000000000002</v>
      </c>
      <c r="BX10" s="9">
        <v>13.821</v>
      </c>
      <c r="BZ10" s="9">
        <v>1453.348</v>
      </c>
      <c r="CA10" s="9">
        <v>56.292000000000002</v>
      </c>
      <c r="CB10" s="9">
        <v>-30.347000000000001</v>
      </c>
      <c r="CC10" s="9">
        <v>12.202999999999999</v>
      </c>
      <c r="CE10" s="9">
        <v>1491.4949999999999</v>
      </c>
      <c r="CF10" s="9">
        <v>57.183</v>
      </c>
      <c r="CG10" s="9">
        <v>-30.33</v>
      </c>
      <c r="CH10" s="9">
        <v>22.481999999999999</v>
      </c>
      <c r="CJ10" s="9">
        <v>1540.829</v>
      </c>
      <c r="CK10" s="9">
        <v>57.798999999999999</v>
      </c>
      <c r="CL10" s="9">
        <v>-30.738</v>
      </c>
      <c r="CM10" s="9">
        <v>32.088999999999999</v>
      </c>
      <c r="CO10" s="9">
        <v>1599.979</v>
      </c>
      <c r="CP10" s="9">
        <v>61.210999999999999</v>
      </c>
      <c r="CQ10" s="9">
        <v>-31.846</v>
      </c>
      <c r="CR10" s="9">
        <v>26.094999999999999</v>
      </c>
      <c r="CT10" s="9">
        <v>1655.4390000000001</v>
      </c>
      <c r="CU10" s="9">
        <v>65.003</v>
      </c>
      <c r="CV10" s="9">
        <v>-32.82</v>
      </c>
      <c r="CW10" s="9">
        <v>15.914999999999999</v>
      </c>
      <c r="CY10" s="9">
        <v>1703.537</v>
      </c>
      <c r="CZ10" s="9">
        <v>70.716999999999999</v>
      </c>
      <c r="DA10" s="9">
        <v>-33.840000000000003</v>
      </c>
      <c r="DB10" s="9">
        <v>18.916</v>
      </c>
      <c r="DD10" s="9">
        <v>1759.329</v>
      </c>
      <c r="DE10" s="9">
        <v>73.831999999999994</v>
      </c>
      <c r="DF10" s="9">
        <v>-35.325000000000003</v>
      </c>
      <c r="DG10" s="9">
        <v>39.991</v>
      </c>
      <c r="DI10" s="9">
        <v>1837.827</v>
      </c>
      <c r="DJ10" s="9">
        <v>76.757999999999996</v>
      </c>
      <c r="DK10" s="9">
        <v>-37.179000000000002</v>
      </c>
      <c r="DL10" s="9">
        <v>56.494</v>
      </c>
      <c r="DN10" s="9">
        <v>1933.9</v>
      </c>
      <c r="DO10" s="9">
        <v>81.11</v>
      </c>
      <c r="DP10" s="9">
        <v>-39.116999999999997</v>
      </c>
      <c r="DQ10" s="9">
        <v>56.968000000000004</v>
      </c>
      <c r="DS10" s="9">
        <v>2032.8610000000001</v>
      </c>
      <c r="DT10" s="9">
        <v>85.677999999999997</v>
      </c>
      <c r="DU10" s="9">
        <v>-41.298999999999999</v>
      </c>
      <c r="DV10" s="9">
        <v>78.301000000000002</v>
      </c>
      <c r="DX10" s="9">
        <v>2155.5410000000002</v>
      </c>
      <c r="DY10" s="9">
        <v>93.457999999999998</v>
      </c>
      <c r="DZ10" s="9">
        <v>-44.398000000000003</v>
      </c>
      <c r="EA10" s="9">
        <v>94.56</v>
      </c>
      <c r="EC10" s="9">
        <v>2299.1610000000001</v>
      </c>
      <c r="ED10" s="9">
        <v>101.01</v>
      </c>
      <c r="EE10" s="9">
        <v>-47.42</v>
      </c>
      <c r="EF10" s="9">
        <v>92.055000000000007</v>
      </c>
      <c r="EH10" s="9">
        <v>2444.8049999999998</v>
      </c>
      <c r="EI10" s="9">
        <v>112.143</v>
      </c>
      <c r="EJ10" s="9">
        <v>-51.237000000000002</v>
      </c>
      <c r="EK10" s="9">
        <v>98.313999999999993</v>
      </c>
      <c r="EM10" s="9">
        <v>2604.0250000000001</v>
      </c>
      <c r="EN10" s="9">
        <v>119.986</v>
      </c>
      <c r="EO10" s="9">
        <v>-55.088999999999999</v>
      </c>
      <c r="EP10" s="9">
        <v>112.815</v>
      </c>
      <c r="ER10" s="9">
        <v>2781.7370000000001</v>
      </c>
      <c r="ES10" s="9">
        <v>122.872</v>
      </c>
      <c r="ET10" s="9">
        <v>-59.540999999999997</v>
      </c>
      <c r="EU10" s="9">
        <v>71.372</v>
      </c>
      <c r="EW10" s="9">
        <v>2916.4389999999999</v>
      </c>
      <c r="EX10" s="9">
        <v>106.736</v>
      </c>
      <c r="EY10" s="9">
        <v>-59.222000000000001</v>
      </c>
      <c r="EZ10" s="9">
        <v>33.752000000000002</v>
      </c>
      <c r="FB10" s="9">
        <v>2997.7040000000002</v>
      </c>
      <c r="FC10" s="9">
        <v>110.40600000000001</v>
      </c>
      <c r="FD10" s="9">
        <v>-61.414999999999999</v>
      </c>
      <c r="FE10" s="9">
        <v>68.022000000000006</v>
      </c>
      <c r="FG10" s="9">
        <v>3114.7170000000001</v>
      </c>
      <c r="FH10" s="9">
        <v>115.104</v>
      </c>
      <c r="FI10" s="9">
        <v>-63.491999999999997</v>
      </c>
      <c r="FJ10" s="9">
        <v>67.994</v>
      </c>
      <c r="FL10" s="9">
        <v>3234.3209999999999</v>
      </c>
      <c r="FM10" s="9">
        <v>114.64</v>
      </c>
      <c r="FN10" s="9">
        <v>-64.403999999999996</v>
      </c>
      <c r="FO10" s="9">
        <v>30.628</v>
      </c>
      <c r="FQ10" s="9">
        <v>3315.1849999999999</v>
      </c>
      <c r="FR10" s="9">
        <v>114.285</v>
      </c>
      <c r="FS10" s="9">
        <v>-64.558999999999997</v>
      </c>
      <c r="FT10" s="9">
        <v>31.161999999999999</v>
      </c>
      <c r="FV10" s="9">
        <v>3396.0720000000001</v>
      </c>
      <c r="FW10" s="9">
        <v>113.63800000000001</v>
      </c>
      <c r="FX10" s="9">
        <v>-66.465999999999994</v>
      </c>
      <c r="FY10" s="9">
        <v>24.015999999999998</v>
      </c>
      <c r="GA10" s="9">
        <v>3467.2570000000001</v>
      </c>
      <c r="GB10" s="9">
        <v>112.833</v>
      </c>
      <c r="GC10" s="9">
        <v>-67.457999999999998</v>
      </c>
      <c r="GD10" s="9">
        <v>1.33</v>
      </c>
      <c r="GF10" s="9">
        <v>3513.96</v>
      </c>
      <c r="GG10" s="9">
        <v>117.133</v>
      </c>
      <c r="GH10" s="9">
        <v>-68.593999999999994</v>
      </c>
      <c r="GI10" s="9">
        <v>37.817999999999998</v>
      </c>
      <c r="GK10" s="9">
        <v>3600.3139999999999</v>
      </c>
      <c r="GL10" s="9">
        <v>126.322</v>
      </c>
      <c r="GM10" s="9">
        <v>-71.861999999999995</v>
      </c>
      <c r="GN10" s="9">
        <v>63.412999999999997</v>
      </c>
      <c r="GP10" s="9">
        <v>3718.1840000000002</v>
      </c>
      <c r="GQ10" s="9">
        <v>131.59100000000001</v>
      </c>
      <c r="GR10" s="9">
        <v>-75.471000000000004</v>
      </c>
      <c r="GS10" s="9">
        <v>67.753</v>
      </c>
      <c r="GU10" s="9">
        <v>3842.0549999999998</v>
      </c>
      <c r="GV10" s="9">
        <v>138.797</v>
      </c>
      <c r="GW10" s="9">
        <v>-79.863</v>
      </c>
      <c r="GX10" s="9">
        <v>53.59</v>
      </c>
      <c r="GZ10" s="9">
        <v>3954.5770000000002</v>
      </c>
      <c r="HA10" s="9">
        <v>132.23699999999999</v>
      </c>
      <c r="HB10" s="9">
        <v>-83.882000000000005</v>
      </c>
      <c r="HC10" s="9">
        <v>107.61199999999999</v>
      </c>
      <c r="HE10" s="9">
        <v>4110.54</v>
      </c>
      <c r="HF10" s="9">
        <v>157.54599999999999</v>
      </c>
      <c r="HG10" s="9">
        <v>-90.528999999999996</v>
      </c>
      <c r="HH10" s="9">
        <v>283.72000000000003</v>
      </c>
      <c r="HJ10" s="9">
        <v>4461.2749999999996</v>
      </c>
      <c r="HK10" s="9">
        <v>164.07499999999999</v>
      </c>
      <c r="HL10" s="9">
        <v>-99.734999999999999</v>
      </c>
      <c r="HM10" s="9">
        <v>276.58600000000001</v>
      </c>
      <c r="HO10" s="9">
        <v>4802.2039999999997</v>
      </c>
      <c r="HP10" s="9">
        <v>154.84299999999999</v>
      </c>
      <c r="HQ10" s="9">
        <v>-102.46899999999999</v>
      </c>
      <c r="HR10" s="9">
        <v>90.551000000000002</v>
      </c>
      <c r="HT10" s="9">
        <v>4945.1310000000003</v>
      </c>
      <c r="HU10" s="9">
        <v>146.53399999999999</v>
      </c>
      <c r="HV10" s="9">
        <v>-101.449</v>
      </c>
      <c r="HW10" s="9">
        <v>10.933</v>
      </c>
      <c r="HY10" s="9">
        <v>5001.1490000000003</v>
      </c>
    </row>
    <row r="11" spans="1:233" x14ac:dyDescent="0.35">
      <c r="A11" s="12" t="s">
        <v>266</v>
      </c>
      <c r="B11" s="12" t="s">
        <v>267</v>
      </c>
      <c r="C11" s="9">
        <v>366.87299999999999</v>
      </c>
      <c r="D11" s="9">
        <v>29.036999999999999</v>
      </c>
      <c r="E11" s="9">
        <v>-7.8449999999999998</v>
      </c>
      <c r="F11" s="9">
        <v>46.731000000000002</v>
      </c>
      <c r="H11" s="9">
        <v>434.79599999999999</v>
      </c>
      <c r="I11" s="9">
        <v>33.356000000000002</v>
      </c>
      <c r="J11" s="9">
        <v>-9.5060000000000002</v>
      </c>
      <c r="K11" s="9">
        <v>52.753</v>
      </c>
      <c r="M11" s="9">
        <v>511.39800000000002</v>
      </c>
      <c r="N11" s="9">
        <v>35.499000000000002</v>
      </c>
      <c r="O11" s="9">
        <v>-10.938000000000001</v>
      </c>
      <c r="P11" s="9">
        <v>57.621000000000002</v>
      </c>
      <c r="R11" s="9">
        <v>593.57899999999995</v>
      </c>
      <c r="S11" s="9">
        <v>37.201999999999998</v>
      </c>
      <c r="T11" s="9">
        <v>-12.561999999999999</v>
      </c>
      <c r="U11" s="9">
        <v>59.704999999999998</v>
      </c>
      <c r="W11" s="9">
        <v>677.92399999999998</v>
      </c>
      <c r="X11" s="9">
        <v>38.682000000000002</v>
      </c>
      <c r="Y11" s="9">
        <v>-13.821</v>
      </c>
      <c r="Z11" s="9">
        <v>49.537999999999997</v>
      </c>
      <c r="AB11" s="9">
        <v>752.32299999999998</v>
      </c>
      <c r="AC11" s="9">
        <v>39.479999999999997</v>
      </c>
      <c r="AD11" s="9">
        <v>-14.805999999999999</v>
      </c>
      <c r="AE11" s="9">
        <v>40.124000000000002</v>
      </c>
      <c r="AG11" s="9">
        <v>817.12099999999998</v>
      </c>
      <c r="AH11" s="9">
        <v>39.347000000000001</v>
      </c>
      <c r="AI11" s="9">
        <v>-15.407</v>
      </c>
      <c r="AJ11" s="9">
        <v>30.75</v>
      </c>
      <c r="AL11" s="9">
        <v>871.81100000000004</v>
      </c>
      <c r="AM11" s="9">
        <v>41.085999999999999</v>
      </c>
      <c r="AN11" s="9">
        <v>-16.050999999999998</v>
      </c>
      <c r="AO11" s="9">
        <v>31.606000000000002</v>
      </c>
      <c r="AQ11" s="9">
        <v>928.45100000000002</v>
      </c>
      <c r="AR11" s="9">
        <v>43.994</v>
      </c>
      <c r="AS11" s="9">
        <v>-16.923999999999999</v>
      </c>
      <c r="AT11" s="9">
        <v>35.615000000000002</v>
      </c>
      <c r="AV11" s="9">
        <v>991.13599999999997</v>
      </c>
      <c r="AW11" s="9">
        <v>48.296999999999997</v>
      </c>
      <c r="AX11" s="9">
        <v>-18.163</v>
      </c>
      <c r="AY11" s="9">
        <v>33.96</v>
      </c>
      <c r="BA11" s="9">
        <v>1055.23</v>
      </c>
      <c r="BB11" s="9">
        <v>53.761000000000003</v>
      </c>
      <c r="BC11" s="9">
        <v>-19.588000000000001</v>
      </c>
      <c r="BD11" s="9">
        <v>35.478999999999999</v>
      </c>
      <c r="BF11" s="9">
        <v>1124.8820000000001</v>
      </c>
      <c r="BG11" s="9">
        <v>55.052999999999997</v>
      </c>
      <c r="BH11" s="9">
        <v>-21.33</v>
      </c>
      <c r="BI11" s="9">
        <v>46.634999999999998</v>
      </c>
      <c r="BK11" s="9">
        <v>1205.24</v>
      </c>
      <c r="BL11" s="9">
        <v>53.502000000000002</v>
      </c>
      <c r="BM11" s="9">
        <v>-23.018000000000001</v>
      </c>
      <c r="BN11" s="9">
        <v>34.545999999999999</v>
      </c>
      <c r="BP11" s="9">
        <v>1270.27</v>
      </c>
      <c r="BQ11" s="9">
        <v>51.402000000000001</v>
      </c>
      <c r="BR11" s="9">
        <v>-23.827000000000002</v>
      </c>
      <c r="BS11" s="9">
        <v>16.669</v>
      </c>
      <c r="BU11" s="9">
        <v>1314.5129999999999</v>
      </c>
      <c r="BV11" s="9">
        <v>49.524000000000001</v>
      </c>
      <c r="BW11" s="9">
        <v>-24.376999999999999</v>
      </c>
      <c r="BX11" s="9">
        <v>12.868</v>
      </c>
      <c r="BZ11" s="9">
        <v>1352.529</v>
      </c>
      <c r="CA11" s="9">
        <v>51.896999999999998</v>
      </c>
      <c r="CB11" s="9">
        <v>-24.827999999999999</v>
      </c>
      <c r="CC11" s="9">
        <v>10.35</v>
      </c>
      <c r="CE11" s="9">
        <v>1389.9480000000001</v>
      </c>
      <c r="CF11" s="9">
        <v>52.777000000000001</v>
      </c>
      <c r="CG11" s="9">
        <v>-24.786999999999999</v>
      </c>
      <c r="CH11" s="9">
        <v>20.681999999999999</v>
      </c>
      <c r="CJ11" s="9">
        <v>1438.6189999999999</v>
      </c>
      <c r="CK11" s="9">
        <v>53.695</v>
      </c>
      <c r="CL11" s="9">
        <v>-25.166</v>
      </c>
      <c r="CM11" s="9">
        <v>29.274999999999999</v>
      </c>
      <c r="CO11" s="9">
        <v>1496.424</v>
      </c>
      <c r="CP11" s="9">
        <v>56.945999999999998</v>
      </c>
      <c r="CQ11" s="9">
        <v>-26.155999999999999</v>
      </c>
      <c r="CR11" s="9">
        <v>22.687000000000001</v>
      </c>
      <c r="CT11" s="9">
        <v>1549.9</v>
      </c>
      <c r="CU11" s="9">
        <v>60.377000000000002</v>
      </c>
      <c r="CV11" s="9">
        <v>-26.99</v>
      </c>
      <c r="CW11" s="9">
        <v>12.327999999999999</v>
      </c>
      <c r="CY11" s="9">
        <v>1595.614</v>
      </c>
      <c r="CZ11" s="9">
        <v>65.474999999999994</v>
      </c>
      <c r="DA11" s="9">
        <v>-27.844999999999999</v>
      </c>
      <c r="DB11" s="9">
        <v>14.252000000000001</v>
      </c>
      <c r="DD11" s="9">
        <v>1647.4970000000001</v>
      </c>
      <c r="DE11" s="9">
        <v>68.763000000000005</v>
      </c>
      <c r="DF11" s="9">
        <v>-29.062000000000001</v>
      </c>
      <c r="DG11" s="9">
        <v>36.331000000000003</v>
      </c>
      <c r="DI11" s="9">
        <v>1723.53</v>
      </c>
      <c r="DJ11" s="9">
        <v>71.611000000000004</v>
      </c>
      <c r="DK11" s="9">
        <v>-30.818999999999999</v>
      </c>
      <c r="DL11" s="9">
        <v>54.079000000000001</v>
      </c>
      <c r="DN11" s="9">
        <v>1818.4</v>
      </c>
      <c r="DO11" s="9">
        <v>75.751000000000005</v>
      </c>
      <c r="DP11" s="9">
        <v>-32.661000000000001</v>
      </c>
      <c r="DQ11" s="9">
        <v>53.256999999999998</v>
      </c>
      <c r="DS11" s="9">
        <v>1914.7470000000001</v>
      </c>
      <c r="DT11" s="9">
        <v>80.186999999999998</v>
      </c>
      <c r="DU11" s="9">
        <v>-34.692</v>
      </c>
      <c r="DV11" s="9">
        <v>73.968000000000004</v>
      </c>
      <c r="DX11" s="9">
        <v>2034.21</v>
      </c>
      <c r="DY11" s="9">
        <v>87.899000000000001</v>
      </c>
      <c r="DZ11" s="9">
        <v>-37.649000000000001</v>
      </c>
      <c r="EA11" s="9">
        <v>90.355000000000004</v>
      </c>
      <c r="EC11" s="9">
        <v>2174.8150000000001</v>
      </c>
      <c r="ED11" s="9">
        <v>95.313999999999993</v>
      </c>
      <c r="EE11" s="9">
        <v>-40.515999999999998</v>
      </c>
      <c r="EF11" s="9">
        <v>87.546000000000006</v>
      </c>
      <c r="EH11" s="9">
        <v>2317.1590000000001</v>
      </c>
      <c r="EI11" s="9">
        <v>106.175</v>
      </c>
      <c r="EJ11" s="9">
        <v>-44.149000000000001</v>
      </c>
      <c r="EK11" s="9">
        <v>93.405000000000001</v>
      </c>
      <c r="EM11" s="9">
        <v>2472.5889999999999</v>
      </c>
      <c r="EN11" s="9">
        <v>113.479</v>
      </c>
      <c r="EO11" s="9">
        <v>-47.750999999999998</v>
      </c>
      <c r="EP11" s="9">
        <v>106.654</v>
      </c>
      <c r="ER11" s="9">
        <v>2644.971</v>
      </c>
      <c r="ES11" s="9">
        <v>115.82299999999999</v>
      </c>
      <c r="ET11" s="9">
        <v>-51.805999999999997</v>
      </c>
      <c r="EU11" s="9">
        <v>67.266000000000005</v>
      </c>
      <c r="EW11" s="9">
        <v>2776.2539999999999</v>
      </c>
      <c r="EX11" s="9">
        <v>100.36199999999999</v>
      </c>
      <c r="EY11" s="9">
        <v>-51.42</v>
      </c>
      <c r="EZ11" s="9">
        <v>30.138000000000002</v>
      </c>
      <c r="FB11" s="9">
        <v>2855.3339999999998</v>
      </c>
      <c r="FC11" s="9">
        <v>103.58499999999999</v>
      </c>
      <c r="FD11" s="9">
        <v>-53.4</v>
      </c>
      <c r="FE11" s="9">
        <v>61.667000000000002</v>
      </c>
      <c r="FG11" s="9">
        <v>2967.1869999999999</v>
      </c>
      <c r="FH11" s="9">
        <v>108.322</v>
      </c>
      <c r="FI11" s="9">
        <v>-55.213000000000001</v>
      </c>
      <c r="FJ11" s="9">
        <v>62.677999999999997</v>
      </c>
      <c r="FL11" s="9">
        <v>3082.9740000000002</v>
      </c>
      <c r="FM11" s="9">
        <v>107.71899999999999</v>
      </c>
      <c r="FN11" s="9">
        <v>-55.95</v>
      </c>
      <c r="FO11" s="9">
        <v>28.315000000000001</v>
      </c>
      <c r="FQ11" s="9">
        <v>3163.058</v>
      </c>
      <c r="FR11" s="9">
        <v>106.90900000000001</v>
      </c>
      <c r="FS11" s="9">
        <v>-56.121000000000002</v>
      </c>
      <c r="FT11" s="9">
        <v>31.408000000000001</v>
      </c>
      <c r="FV11" s="9">
        <v>3245.2539999999999</v>
      </c>
      <c r="FW11" s="9">
        <v>105.986</v>
      </c>
      <c r="FX11" s="9">
        <v>-58.061</v>
      </c>
      <c r="FY11" s="9">
        <v>26.721</v>
      </c>
      <c r="GA11" s="9">
        <v>3319.9</v>
      </c>
      <c r="GB11" s="9">
        <v>104.81399999999999</v>
      </c>
      <c r="GC11" s="9">
        <v>-59.12</v>
      </c>
      <c r="GD11" s="9">
        <v>4.01</v>
      </c>
      <c r="GF11" s="9">
        <v>3369.6039999999998</v>
      </c>
      <c r="GG11" s="9">
        <v>108.142</v>
      </c>
      <c r="GH11" s="9">
        <v>-60.07</v>
      </c>
      <c r="GI11" s="9">
        <v>36.853000000000002</v>
      </c>
      <c r="GK11" s="9">
        <v>3454.529</v>
      </c>
      <c r="GL11" s="9">
        <v>116.718</v>
      </c>
      <c r="GM11" s="9">
        <v>-63.012999999999998</v>
      </c>
      <c r="GN11" s="9">
        <v>60.094000000000001</v>
      </c>
      <c r="GP11" s="9">
        <v>3568.328</v>
      </c>
      <c r="GQ11" s="9">
        <v>121.03400000000001</v>
      </c>
      <c r="GR11" s="9">
        <v>-66.165999999999997</v>
      </c>
      <c r="GS11" s="9">
        <v>64.662000000000006</v>
      </c>
      <c r="GU11" s="9">
        <v>3687.8580000000002</v>
      </c>
      <c r="GV11" s="9">
        <v>127.185</v>
      </c>
      <c r="GW11" s="9">
        <v>-70.058000000000007</v>
      </c>
      <c r="GX11" s="9">
        <v>52.36</v>
      </c>
      <c r="GZ11" s="9">
        <v>3797.3449999999998</v>
      </c>
      <c r="HA11" s="9">
        <v>120.18300000000001</v>
      </c>
      <c r="HB11" s="9">
        <v>-73.680000000000007</v>
      </c>
      <c r="HC11" s="9">
        <v>104.23399999999999</v>
      </c>
      <c r="HE11" s="9">
        <v>3948.0810000000001</v>
      </c>
      <c r="HF11" s="9">
        <v>144.72200000000001</v>
      </c>
      <c r="HG11" s="9">
        <v>-79.677000000000007</v>
      </c>
      <c r="HH11" s="9">
        <v>271.70600000000002</v>
      </c>
      <c r="HJ11" s="9">
        <v>4284.8320000000003</v>
      </c>
      <c r="HK11" s="9">
        <v>151.887</v>
      </c>
      <c r="HL11" s="9">
        <v>-87.918000000000006</v>
      </c>
      <c r="HM11" s="9">
        <v>264.64699999999999</v>
      </c>
      <c r="HO11" s="9">
        <v>4613.4480000000003</v>
      </c>
      <c r="HP11" s="9">
        <v>143.03200000000001</v>
      </c>
      <c r="HQ11" s="9">
        <v>-90.213999999999999</v>
      </c>
      <c r="HR11" s="9">
        <v>86.421999999999997</v>
      </c>
      <c r="HT11" s="9">
        <v>4752.6869999999999</v>
      </c>
      <c r="HU11" s="9">
        <v>134.91200000000001</v>
      </c>
      <c r="HV11" s="9">
        <v>-89.114999999999995</v>
      </c>
      <c r="HW11" s="9">
        <v>8.9269999999999996</v>
      </c>
      <c r="HY11" s="9">
        <v>4807.4110000000001</v>
      </c>
    </row>
    <row r="12" spans="1:233" x14ac:dyDescent="0.35">
      <c r="A12" s="12" t="s">
        <v>268</v>
      </c>
      <c r="B12" s="12" t="s">
        <v>269</v>
      </c>
      <c r="C12" s="9">
        <v>44.341000000000001</v>
      </c>
      <c r="D12" s="9">
        <v>2.589</v>
      </c>
      <c r="E12" s="9">
        <v>-2.532</v>
      </c>
      <c r="F12" s="9">
        <v>7.1840000000000002</v>
      </c>
      <c r="H12" s="9">
        <v>51.582000000000001</v>
      </c>
      <c r="I12" s="9">
        <v>2.9809999999999999</v>
      </c>
      <c r="J12" s="9">
        <v>-2.9809999999999999</v>
      </c>
      <c r="K12" s="9">
        <v>8.1340000000000003</v>
      </c>
      <c r="M12" s="9">
        <v>59.716000000000001</v>
      </c>
      <c r="N12" s="9">
        <v>3.1560000000000001</v>
      </c>
      <c r="O12" s="9">
        <v>-3.3610000000000002</v>
      </c>
      <c r="P12" s="9">
        <v>8.0630000000000006</v>
      </c>
      <c r="R12" s="9">
        <v>67.572000000000003</v>
      </c>
      <c r="S12" s="9">
        <v>3.3340000000000001</v>
      </c>
      <c r="T12" s="9">
        <v>-3.8029999999999999</v>
      </c>
      <c r="U12" s="9">
        <v>7.734</v>
      </c>
      <c r="W12" s="9">
        <v>74.838999999999999</v>
      </c>
      <c r="X12" s="9">
        <v>3.44</v>
      </c>
      <c r="Y12" s="9">
        <v>-4.1180000000000003</v>
      </c>
      <c r="Z12" s="9">
        <v>6.0279999999999996</v>
      </c>
      <c r="AB12" s="9">
        <v>80.188000000000002</v>
      </c>
      <c r="AC12" s="9">
        <v>3.6110000000000002</v>
      </c>
      <c r="AD12" s="9">
        <v>-4.3879999999999999</v>
      </c>
      <c r="AE12" s="9">
        <v>4.415</v>
      </c>
      <c r="AG12" s="9">
        <v>83.825000000000003</v>
      </c>
      <c r="AH12" s="9">
        <v>3.4670000000000001</v>
      </c>
      <c r="AI12" s="9">
        <v>-4.5419999999999998</v>
      </c>
      <c r="AJ12" s="9">
        <v>3.23</v>
      </c>
      <c r="AL12" s="9">
        <v>85.98</v>
      </c>
      <c r="AM12" s="9">
        <v>3.7789999999999999</v>
      </c>
      <c r="AN12" s="9">
        <v>-4.6769999999999996</v>
      </c>
      <c r="AO12" s="9">
        <v>3.6469999999999998</v>
      </c>
      <c r="AQ12" s="9">
        <v>88.727999999999994</v>
      </c>
      <c r="AR12" s="9">
        <v>4.1459999999999999</v>
      </c>
      <c r="AS12" s="9">
        <v>-4.8559999999999999</v>
      </c>
      <c r="AT12" s="9">
        <v>4.484</v>
      </c>
      <c r="AV12" s="9">
        <v>92.501000000000005</v>
      </c>
      <c r="AW12" s="9">
        <v>4.3760000000000003</v>
      </c>
      <c r="AX12" s="9">
        <v>-5.0780000000000003</v>
      </c>
      <c r="AY12" s="9">
        <v>4.8380000000000001</v>
      </c>
      <c r="BA12" s="9">
        <v>96.635999999999996</v>
      </c>
      <c r="BB12" s="9">
        <v>4.8540000000000001</v>
      </c>
      <c r="BC12" s="9">
        <v>-5.2969999999999997</v>
      </c>
      <c r="BD12" s="9">
        <v>4.0510000000000002</v>
      </c>
      <c r="BF12" s="9">
        <v>100.244</v>
      </c>
      <c r="BG12" s="9">
        <v>4.5410000000000004</v>
      </c>
      <c r="BH12" s="9">
        <v>-5.4320000000000004</v>
      </c>
      <c r="BI12" s="9">
        <v>2.9590000000000001</v>
      </c>
      <c r="BK12" s="9">
        <v>102.313</v>
      </c>
      <c r="BL12" s="9">
        <v>4.3479999999999999</v>
      </c>
      <c r="BM12" s="9">
        <v>-5.56</v>
      </c>
      <c r="BN12" s="9">
        <v>1.2669999999999999</v>
      </c>
      <c r="BP12" s="9">
        <v>102.36799999999999</v>
      </c>
      <c r="BQ12" s="9">
        <v>4.4080000000000004</v>
      </c>
      <c r="BR12" s="9">
        <v>-5.5380000000000003</v>
      </c>
      <c r="BS12" s="9">
        <v>-0.104</v>
      </c>
      <c r="BU12" s="9">
        <v>101.133</v>
      </c>
      <c r="BV12" s="9">
        <v>4.2160000000000002</v>
      </c>
      <c r="BW12" s="9">
        <v>-5.4820000000000002</v>
      </c>
      <c r="BX12" s="9">
        <v>0.95199999999999996</v>
      </c>
      <c r="BZ12" s="9">
        <v>100.819</v>
      </c>
      <c r="CA12" s="9">
        <v>4.3940000000000001</v>
      </c>
      <c r="CB12" s="9">
        <v>-5.5190000000000001</v>
      </c>
      <c r="CC12" s="9">
        <v>1.853</v>
      </c>
      <c r="CE12" s="9">
        <v>101.54600000000001</v>
      </c>
      <c r="CF12" s="9">
        <v>4.4059999999999997</v>
      </c>
      <c r="CG12" s="9">
        <v>-5.5430000000000001</v>
      </c>
      <c r="CH12" s="9">
        <v>1.8</v>
      </c>
      <c r="CJ12" s="9">
        <v>102.21</v>
      </c>
      <c r="CK12" s="9">
        <v>4.1040000000000001</v>
      </c>
      <c r="CL12" s="9">
        <v>-5.5720000000000001</v>
      </c>
      <c r="CM12" s="9">
        <v>2.8140000000000001</v>
      </c>
      <c r="CO12" s="9">
        <v>103.55500000000001</v>
      </c>
      <c r="CP12" s="9">
        <v>4.2649999999999997</v>
      </c>
      <c r="CQ12" s="9">
        <v>-5.6890000000000001</v>
      </c>
      <c r="CR12" s="9">
        <v>3.4079999999999999</v>
      </c>
      <c r="CT12" s="9">
        <v>105.539</v>
      </c>
      <c r="CU12" s="9">
        <v>4.6260000000000003</v>
      </c>
      <c r="CV12" s="9">
        <v>-5.83</v>
      </c>
      <c r="CW12" s="9">
        <v>3.5870000000000002</v>
      </c>
      <c r="CY12" s="9">
        <v>107.922</v>
      </c>
      <c r="CZ12" s="9">
        <v>5.242</v>
      </c>
      <c r="DA12" s="9">
        <v>-5.9950000000000001</v>
      </c>
      <c r="DB12" s="9">
        <v>4.6630000000000003</v>
      </c>
      <c r="DD12" s="9">
        <v>111.83199999999999</v>
      </c>
      <c r="DE12" s="9">
        <v>5.069</v>
      </c>
      <c r="DF12" s="9">
        <v>-6.2629999999999999</v>
      </c>
      <c r="DG12" s="9">
        <v>3.661</v>
      </c>
      <c r="DI12" s="9">
        <v>114.298</v>
      </c>
      <c r="DJ12" s="9">
        <v>5.1479999999999997</v>
      </c>
      <c r="DK12" s="9">
        <v>-6.36</v>
      </c>
      <c r="DL12" s="9">
        <v>2.415</v>
      </c>
      <c r="DN12" s="9">
        <v>115.499</v>
      </c>
      <c r="DO12" s="9">
        <v>5.359</v>
      </c>
      <c r="DP12" s="9">
        <v>-6.4560000000000004</v>
      </c>
      <c r="DQ12" s="9">
        <v>3.7109999999999999</v>
      </c>
      <c r="DS12" s="9">
        <v>118.113</v>
      </c>
      <c r="DT12" s="9">
        <v>5.4909999999999997</v>
      </c>
      <c r="DU12" s="9">
        <v>-6.6070000000000002</v>
      </c>
      <c r="DV12" s="9">
        <v>4.3330000000000002</v>
      </c>
      <c r="DX12" s="9">
        <v>121.331</v>
      </c>
      <c r="DY12" s="9">
        <v>5.56</v>
      </c>
      <c r="DZ12" s="9">
        <v>-6.7489999999999997</v>
      </c>
      <c r="EA12" s="9">
        <v>4.2050000000000001</v>
      </c>
      <c r="EC12" s="9">
        <v>124.34699999999999</v>
      </c>
      <c r="ED12" s="9">
        <v>5.6959999999999997</v>
      </c>
      <c r="EE12" s="9">
        <v>-6.9039999999999999</v>
      </c>
      <c r="EF12" s="9">
        <v>4.508</v>
      </c>
      <c r="EH12" s="9">
        <v>127.646</v>
      </c>
      <c r="EI12" s="9">
        <v>5.9690000000000003</v>
      </c>
      <c r="EJ12" s="9">
        <v>-7.0869999999999997</v>
      </c>
      <c r="EK12" s="9">
        <v>4.9089999999999998</v>
      </c>
      <c r="EM12" s="9">
        <v>131.435</v>
      </c>
      <c r="EN12" s="9">
        <v>6.5069999999999997</v>
      </c>
      <c r="EO12" s="9">
        <v>-7.3369999999999997</v>
      </c>
      <c r="EP12" s="9">
        <v>6.1619999999999999</v>
      </c>
      <c r="ER12" s="9">
        <v>136.76599999999999</v>
      </c>
      <c r="ES12" s="9">
        <v>7.0490000000000004</v>
      </c>
      <c r="ET12" s="9">
        <v>-7.7350000000000003</v>
      </c>
      <c r="EU12" s="9">
        <v>4.1059999999999999</v>
      </c>
      <c r="EW12" s="9">
        <v>140.184</v>
      </c>
      <c r="EX12" s="9">
        <v>6.3739999999999997</v>
      </c>
      <c r="EY12" s="9">
        <v>-7.8019999999999996</v>
      </c>
      <c r="EZ12" s="9">
        <v>3.6150000000000002</v>
      </c>
      <c r="FB12" s="9">
        <v>142.37</v>
      </c>
      <c r="FC12" s="9">
        <v>6.8209999999999997</v>
      </c>
      <c r="FD12" s="9">
        <v>-8.0150000000000006</v>
      </c>
      <c r="FE12" s="9">
        <v>6.3550000000000004</v>
      </c>
      <c r="FG12" s="9">
        <v>147.53</v>
      </c>
      <c r="FH12" s="9">
        <v>6.782</v>
      </c>
      <c r="FI12" s="9">
        <v>-8.2789999999999999</v>
      </c>
      <c r="FJ12" s="9">
        <v>5.3159999999999998</v>
      </c>
      <c r="FL12" s="9">
        <v>151.34700000000001</v>
      </c>
      <c r="FM12" s="9">
        <v>6.9210000000000003</v>
      </c>
      <c r="FN12" s="9">
        <v>-8.4529999999999994</v>
      </c>
      <c r="FO12" s="9">
        <v>2.3140000000000001</v>
      </c>
      <c r="FQ12" s="9">
        <v>152.12700000000001</v>
      </c>
      <c r="FR12" s="9">
        <v>7.3760000000000003</v>
      </c>
      <c r="FS12" s="9">
        <v>-8.4390000000000001</v>
      </c>
      <c r="FT12" s="9">
        <v>-0.246</v>
      </c>
      <c r="FV12" s="9">
        <v>150.81800000000001</v>
      </c>
      <c r="FW12" s="9">
        <v>7.6520000000000001</v>
      </c>
      <c r="FX12" s="9">
        <v>-8.4049999999999994</v>
      </c>
      <c r="FY12" s="9">
        <v>-2.7050000000000001</v>
      </c>
      <c r="GA12" s="9">
        <v>147.357</v>
      </c>
      <c r="GB12" s="9">
        <v>8.0190000000000001</v>
      </c>
      <c r="GC12" s="9">
        <v>-8.3379999999999992</v>
      </c>
      <c r="GD12" s="9">
        <v>-2.681</v>
      </c>
      <c r="GF12" s="9">
        <v>144.35599999999999</v>
      </c>
      <c r="GG12" s="9">
        <v>8.9909999999999997</v>
      </c>
      <c r="GH12" s="9">
        <v>-8.5229999999999997</v>
      </c>
      <c r="GI12" s="9">
        <v>0.96499999999999997</v>
      </c>
      <c r="GK12" s="9">
        <v>145.785</v>
      </c>
      <c r="GL12" s="9">
        <v>9.6029999999999998</v>
      </c>
      <c r="GM12" s="9">
        <v>-8.8490000000000002</v>
      </c>
      <c r="GN12" s="9">
        <v>3.3180000000000001</v>
      </c>
      <c r="GP12" s="9">
        <v>149.85599999999999</v>
      </c>
      <c r="GQ12" s="9">
        <v>10.557</v>
      </c>
      <c r="GR12" s="9">
        <v>-9.3049999999999997</v>
      </c>
      <c r="GS12" s="9">
        <v>3.0910000000000002</v>
      </c>
      <c r="GU12" s="9">
        <v>154.197</v>
      </c>
      <c r="GV12" s="9">
        <v>11.613</v>
      </c>
      <c r="GW12" s="9">
        <v>-9.8049999999999997</v>
      </c>
      <c r="GX12" s="9">
        <v>1.23</v>
      </c>
      <c r="GZ12" s="9">
        <v>157.232</v>
      </c>
      <c r="HA12" s="9">
        <v>12.054</v>
      </c>
      <c r="HB12" s="9">
        <v>-10.202</v>
      </c>
      <c r="HC12" s="9">
        <v>3.3780000000000001</v>
      </c>
      <c r="HE12" s="9">
        <v>162.459</v>
      </c>
      <c r="HF12" s="9">
        <v>12.824</v>
      </c>
      <c r="HG12" s="9">
        <v>-10.852</v>
      </c>
      <c r="HH12" s="9">
        <v>12.015000000000001</v>
      </c>
      <c r="HJ12" s="9">
        <v>176.44399999999999</v>
      </c>
      <c r="HK12" s="9">
        <v>12.188000000000001</v>
      </c>
      <c r="HL12" s="9">
        <v>-11.817</v>
      </c>
      <c r="HM12" s="9">
        <v>11.939</v>
      </c>
      <c r="HO12" s="9">
        <v>188.756</v>
      </c>
      <c r="HP12" s="9">
        <v>11.811</v>
      </c>
      <c r="HQ12" s="9">
        <v>-12.255000000000001</v>
      </c>
      <c r="HR12" s="9">
        <v>4.13</v>
      </c>
      <c r="HT12" s="9">
        <v>192.44399999999999</v>
      </c>
      <c r="HU12" s="9">
        <v>11.622</v>
      </c>
      <c r="HV12" s="9">
        <v>-12.334</v>
      </c>
      <c r="HW12" s="9">
        <v>2.0059999999999998</v>
      </c>
      <c r="HY12" s="9">
        <v>193.738</v>
      </c>
    </row>
    <row r="13" spans="1:233" x14ac:dyDescent="0.35">
      <c r="A13" s="12" t="s">
        <v>270</v>
      </c>
      <c r="B13" s="12" t="s">
        <v>271</v>
      </c>
      <c r="C13" s="9">
        <v>20.119</v>
      </c>
      <c r="D13" s="9">
        <v>1.623</v>
      </c>
      <c r="E13" s="9">
        <v>-1.748</v>
      </c>
      <c r="F13" s="9">
        <v>2.589</v>
      </c>
      <c r="H13" s="9">
        <v>22.581</v>
      </c>
      <c r="I13" s="9">
        <v>1.865</v>
      </c>
      <c r="J13" s="9">
        <v>-2.0209999999999999</v>
      </c>
      <c r="K13" s="9">
        <v>2.9889999999999999</v>
      </c>
      <c r="M13" s="9">
        <v>25.414999999999999</v>
      </c>
      <c r="N13" s="9">
        <v>1.962</v>
      </c>
      <c r="O13" s="9">
        <v>-2.2559999999999998</v>
      </c>
      <c r="P13" s="9">
        <v>2.98</v>
      </c>
      <c r="R13" s="9">
        <v>28.102</v>
      </c>
      <c r="S13" s="9">
        <v>2.0760000000000001</v>
      </c>
      <c r="T13" s="9">
        <v>-2.5179999999999998</v>
      </c>
      <c r="U13" s="9">
        <v>2.798</v>
      </c>
      <c r="W13" s="9">
        <v>30.457999999999998</v>
      </c>
      <c r="X13" s="9">
        <v>2.133</v>
      </c>
      <c r="Y13" s="9">
        <v>-2.7029999999999998</v>
      </c>
      <c r="Z13" s="9">
        <v>2.198</v>
      </c>
      <c r="AB13" s="9">
        <v>32.085999999999999</v>
      </c>
      <c r="AC13" s="9">
        <v>2.254</v>
      </c>
      <c r="AD13" s="9">
        <v>-2.86</v>
      </c>
      <c r="AE13" s="9">
        <v>1.7430000000000001</v>
      </c>
      <c r="AG13" s="9">
        <v>33.222999999999999</v>
      </c>
      <c r="AH13" s="9">
        <v>2.1219999999999999</v>
      </c>
      <c r="AI13" s="9">
        <v>-2.956</v>
      </c>
      <c r="AJ13" s="9">
        <v>1.1160000000000001</v>
      </c>
      <c r="AL13" s="9">
        <v>33.503999999999998</v>
      </c>
      <c r="AM13" s="9">
        <v>2.3580000000000001</v>
      </c>
      <c r="AN13" s="9">
        <v>-3.0089999999999999</v>
      </c>
      <c r="AO13" s="9">
        <v>0.876</v>
      </c>
      <c r="AQ13" s="9">
        <v>33.728999999999999</v>
      </c>
      <c r="AR13" s="9">
        <v>2.6190000000000002</v>
      </c>
      <c r="AS13" s="9">
        <v>-3.0880000000000001</v>
      </c>
      <c r="AT13" s="9">
        <v>1.0149999999999999</v>
      </c>
      <c r="AV13" s="9">
        <v>34.274000000000001</v>
      </c>
      <c r="AW13" s="9">
        <v>2.7250000000000001</v>
      </c>
      <c r="AX13" s="9">
        <v>-3.1819999999999999</v>
      </c>
      <c r="AY13" s="9">
        <v>0.93500000000000005</v>
      </c>
      <c r="BA13" s="9">
        <v>34.752000000000002</v>
      </c>
      <c r="BB13" s="9">
        <v>3.0390000000000001</v>
      </c>
      <c r="BC13" s="9">
        <v>-3.2709999999999999</v>
      </c>
      <c r="BD13" s="9">
        <v>0.79900000000000004</v>
      </c>
      <c r="BF13" s="9">
        <v>35.317999999999998</v>
      </c>
      <c r="BG13" s="9">
        <v>2.7320000000000002</v>
      </c>
      <c r="BH13" s="9">
        <v>-3.3210000000000002</v>
      </c>
      <c r="BI13" s="9">
        <v>1.0289999999999999</v>
      </c>
      <c r="BK13" s="9">
        <v>35.758000000000003</v>
      </c>
      <c r="BL13" s="9">
        <v>2.65</v>
      </c>
      <c r="BM13" s="9">
        <v>-3.4089999999999998</v>
      </c>
      <c r="BN13" s="9">
        <v>0.84</v>
      </c>
      <c r="BP13" s="9">
        <v>35.838000000000001</v>
      </c>
      <c r="BQ13" s="9">
        <v>2.7240000000000002</v>
      </c>
      <c r="BR13" s="9">
        <v>-3.403</v>
      </c>
      <c r="BS13" s="9">
        <v>0.32300000000000001</v>
      </c>
      <c r="BU13" s="9">
        <v>35.481999999999999</v>
      </c>
      <c r="BV13" s="9">
        <v>2.5609999999999999</v>
      </c>
      <c r="BW13" s="9">
        <v>-3.3639999999999999</v>
      </c>
      <c r="BX13" s="9">
        <v>0.183</v>
      </c>
      <c r="BZ13" s="9">
        <v>34.863</v>
      </c>
      <c r="CA13" s="9">
        <v>2.6520000000000001</v>
      </c>
      <c r="CB13" s="9">
        <v>-3.3380000000000001</v>
      </c>
      <c r="CC13" s="9">
        <v>9.9000000000000005E-2</v>
      </c>
      <c r="CE13" s="9">
        <v>34.274999999999999</v>
      </c>
      <c r="CF13" s="9">
        <v>2.6659999999999999</v>
      </c>
      <c r="CG13" s="9">
        <v>-3.3140000000000001</v>
      </c>
      <c r="CH13" s="9">
        <v>0.16800000000000001</v>
      </c>
      <c r="CJ13" s="9">
        <v>33.795999999999999</v>
      </c>
      <c r="CK13" s="9">
        <v>2.4660000000000002</v>
      </c>
      <c r="CL13" s="9">
        <v>-3.294</v>
      </c>
      <c r="CM13" s="9">
        <v>0.36299999999999999</v>
      </c>
      <c r="CO13" s="9">
        <v>33.331000000000003</v>
      </c>
      <c r="CP13" s="9">
        <v>2.5310000000000001</v>
      </c>
      <c r="CQ13" s="9">
        <v>-3.3109999999999999</v>
      </c>
      <c r="CR13" s="9">
        <v>0.64300000000000002</v>
      </c>
      <c r="CT13" s="9">
        <v>33.195</v>
      </c>
      <c r="CU13" s="9">
        <v>2.7759999999999998</v>
      </c>
      <c r="CV13" s="9">
        <v>-3.3820000000000001</v>
      </c>
      <c r="CW13" s="9">
        <v>0.61</v>
      </c>
      <c r="CY13" s="9">
        <v>33.198999999999998</v>
      </c>
      <c r="CZ13" s="9">
        <v>3.1360000000000001</v>
      </c>
      <c r="DA13" s="9">
        <v>-3.4279999999999999</v>
      </c>
      <c r="DB13" s="9">
        <v>1.1459999999999999</v>
      </c>
      <c r="DD13" s="9">
        <v>34.054000000000002</v>
      </c>
      <c r="DE13" s="9">
        <v>2.92</v>
      </c>
      <c r="DF13" s="9">
        <v>-3.593</v>
      </c>
      <c r="DG13" s="9">
        <v>1.548</v>
      </c>
      <c r="DI13" s="9">
        <v>34.927999999999997</v>
      </c>
      <c r="DJ13" s="9">
        <v>2.9620000000000002</v>
      </c>
      <c r="DK13" s="9">
        <v>-3.669</v>
      </c>
      <c r="DL13" s="9">
        <v>0.90300000000000002</v>
      </c>
      <c r="DN13" s="9">
        <v>35.124000000000002</v>
      </c>
      <c r="DO13" s="9">
        <v>3.0670000000000002</v>
      </c>
      <c r="DP13" s="9">
        <v>-3.7</v>
      </c>
      <c r="DQ13" s="9">
        <v>0.71799999999999997</v>
      </c>
      <c r="DS13" s="9">
        <v>35.209000000000003</v>
      </c>
      <c r="DT13" s="9">
        <v>3.0579999999999998</v>
      </c>
      <c r="DU13" s="9">
        <v>-3.7269999999999999</v>
      </c>
      <c r="DV13" s="9">
        <v>0.95899999999999996</v>
      </c>
      <c r="DX13" s="9">
        <v>35.499000000000002</v>
      </c>
      <c r="DY13" s="9">
        <v>2.9460000000000002</v>
      </c>
      <c r="DZ13" s="9">
        <v>-3.78</v>
      </c>
      <c r="EA13" s="9">
        <v>1.1819999999999999</v>
      </c>
      <c r="EC13" s="9">
        <v>35.845999999999997</v>
      </c>
      <c r="ED13" s="9">
        <v>2.9220000000000002</v>
      </c>
      <c r="EE13" s="9">
        <v>-3.8330000000000002</v>
      </c>
      <c r="EF13" s="9">
        <v>1.1180000000000001</v>
      </c>
      <c r="EH13" s="9">
        <v>36.052999999999997</v>
      </c>
      <c r="EI13" s="9">
        <v>3.004</v>
      </c>
      <c r="EJ13" s="9">
        <v>-3.9009999999999998</v>
      </c>
      <c r="EK13" s="9">
        <v>1.1639999999999999</v>
      </c>
      <c r="EM13" s="9">
        <v>36.319000000000003</v>
      </c>
      <c r="EN13" s="9">
        <v>3.3479999999999999</v>
      </c>
      <c r="EO13" s="9">
        <v>-4.0220000000000002</v>
      </c>
      <c r="EP13" s="9">
        <v>1.371</v>
      </c>
      <c r="ER13" s="9">
        <v>37.015999999999998</v>
      </c>
      <c r="ES13" s="9">
        <v>3.7709999999999999</v>
      </c>
      <c r="ET13" s="9">
        <v>-4.2309999999999999</v>
      </c>
      <c r="EU13" s="9">
        <v>1.073</v>
      </c>
      <c r="EW13" s="9">
        <v>37.628999999999998</v>
      </c>
      <c r="EX13" s="9">
        <v>3.4089999999999998</v>
      </c>
      <c r="EY13" s="9">
        <v>-4.3040000000000003</v>
      </c>
      <c r="EZ13" s="9">
        <v>0.48899999999999999</v>
      </c>
      <c r="FB13" s="9">
        <v>37.223999999999997</v>
      </c>
      <c r="FC13" s="9">
        <v>3.472</v>
      </c>
      <c r="FD13" s="9">
        <v>-4.3170000000000002</v>
      </c>
      <c r="FE13" s="9">
        <v>0.621</v>
      </c>
      <c r="FG13" s="9">
        <v>37</v>
      </c>
      <c r="FH13" s="9">
        <v>3.4910000000000001</v>
      </c>
      <c r="FI13" s="9">
        <v>-4.4130000000000003</v>
      </c>
      <c r="FJ13" s="9">
        <v>0.90800000000000003</v>
      </c>
      <c r="FL13" s="9">
        <v>36.984999999999999</v>
      </c>
      <c r="FM13" s="9">
        <v>3.6789999999999998</v>
      </c>
      <c r="FN13" s="9">
        <v>-4.49</v>
      </c>
      <c r="FO13" s="9">
        <v>0.36299999999999999</v>
      </c>
      <c r="FQ13" s="9">
        <v>36.537999999999997</v>
      </c>
      <c r="FR13" s="9">
        <v>3.835</v>
      </c>
      <c r="FS13" s="9">
        <v>-4.4729999999999999</v>
      </c>
      <c r="FT13" s="9">
        <v>-7.9000000000000001E-2</v>
      </c>
      <c r="FV13" s="9">
        <v>35.82</v>
      </c>
      <c r="FW13" s="9">
        <v>3.968</v>
      </c>
      <c r="FX13" s="9">
        <v>-4.4790000000000001</v>
      </c>
      <c r="FY13" s="9">
        <v>-0.129</v>
      </c>
      <c r="GA13" s="9">
        <v>35.18</v>
      </c>
      <c r="GB13" s="9">
        <v>4.3819999999999997</v>
      </c>
      <c r="GC13" s="9">
        <v>-4.569</v>
      </c>
      <c r="GD13" s="9">
        <v>-0.20699999999999999</v>
      </c>
      <c r="GF13" s="9">
        <v>34.784999999999997</v>
      </c>
      <c r="GG13" s="9">
        <v>5.1829999999999998</v>
      </c>
      <c r="GH13" s="9">
        <v>-4.7839999999999998</v>
      </c>
      <c r="GI13" s="9">
        <v>-9.5000000000000001E-2</v>
      </c>
      <c r="GK13" s="9">
        <v>35.088999999999999</v>
      </c>
      <c r="GL13" s="9">
        <v>5.415</v>
      </c>
      <c r="GM13" s="9">
        <v>-5.01</v>
      </c>
      <c r="GN13" s="9">
        <v>0.33500000000000002</v>
      </c>
      <c r="GP13" s="9">
        <v>35.828000000000003</v>
      </c>
      <c r="GQ13" s="9">
        <v>6.0460000000000003</v>
      </c>
      <c r="GR13" s="9">
        <v>-5.3529999999999998</v>
      </c>
      <c r="GS13" s="9">
        <v>0.49</v>
      </c>
      <c r="GU13" s="9">
        <v>37.011000000000003</v>
      </c>
      <c r="GV13" s="9">
        <v>6.8380000000000001</v>
      </c>
      <c r="GW13" s="9">
        <v>-5.7729999999999997</v>
      </c>
      <c r="GX13" s="9">
        <v>0.25700000000000001</v>
      </c>
      <c r="GZ13" s="9">
        <v>38.332000000000001</v>
      </c>
      <c r="HA13" s="9">
        <v>7.3730000000000002</v>
      </c>
      <c r="HB13" s="9">
        <v>-6.1669999999999998</v>
      </c>
      <c r="HC13" s="9">
        <v>0.67500000000000004</v>
      </c>
      <c r="HE13" s="9">
        <v>40.212000000000003</v>
      </c>
      <c r="HF13" s="9">
        <v>7.5110000000000001</v>
      </c>
      <c r="HG13" s="9">
        <v>-6.609</v>
      </c>
      <c r="HH13" s="9">
        <v>2.117</v>
      </c>
      <c r="HJ13" s="9">
        <v>43.231999999999999</v>
      </c>
      <c r="HK13" s="9">
        <v>7.1340000000000003</v>
      </c>
      <c r="HL13" s="9">
        <v>-7.0880000000000001</v>
      </c>
      <c r="HM13" s="9">
        <v>2.3149999999999999</v>
      </c>
      <c r="HO13" s="9">
        <v>45.594999999999999</v>
      </c>
      <c r="HP13" s="9">
        <v>6.8230000000000004</v>
      </c>
      <c r="HQ13" s="9">
        <v>-7.3789999999999996</v>
      </c>
      <c r="HR13" s="9">
        <v>1.123</v>
      </c>
      <c r="HT13" s="9">
        <v>46.161999999999999</v>
      </c>
      <c r="HU13" s="9">
        <v>6.6669999999999998</v>
      </c>
      <c r="HV13" s="9">
        <v>-7.4089999999999998</v>
      </c>
      <c r="HW13" s="9">
        <v>0.496</v>
      </c>
      <c r="HY13" s="9">
        <v>45.917000000000002</v>
      </c>
    </row>
    <row r="14" spans="1:233" x14ac:dyDescent="0.35">
      <c r="A14" s="12" t="s">
        <v>272</v>
      </c>
      <c r="B14" s="12" t="s">
        <v>273</v>
      </c>
      <c r="C14" s="9">
        <v>24.222999999999999</v>
      </c>
      <c r="D14" s="9">
        <v>0.96599999999999997</v>
      </c>
      <c r="E14" s="9">
        <v>-0.78300000000000003</v>
      </c>
      <c r="F14" s="9">
        <v>4.5949999999999998</v>
      </c>
      <c r="H14" s="9">
        <v>29.001000000000001</v>
      </c>
      <c r="I14" s="9">
        <v>1.115</v>
      </c>
      <c r="J14" s="9">
        <v>-0.96</v>
      </c>
      <c r="K14" s="9">
        <v>5.1449999999999996</v>
      </c>
      <c r="M14" s="9">
        <v>34.301000000000002</v>
      </c>
      <c r="N14" s="9">
        <v>1.1930000000000001</v>
      </c>
      <c r="O14" s="9">
        <v>-1.1060000000000001</v>
      </c>
      <c r="P14" s="9">
        <v>5.0819999999999999</v>
      </c>
      <c r="R14" s="9">
        <v>39.470999999999997</v>
      </c>
      <c r="S14" s="9">
        <v>1.258</v>
      </c>
      <c r="T14" s="9">
        <v>-1.284</v>
      </c>
      <c r="U14" s="9">
        <v>4.9359999999999999</v>
      </c>
      <c r="W14" s="9">
        <v>44.381</v>
      </c>
      <c r="X14" s="9">
        <v>1.3069999999999999</v>
      </c>
      <c r="Y14" s="9">
        <v>-1.415</v>
      </c>
      <c r="Z14" s="9">
        <v>3.83</v>
      </c>
      <c r="AB14" s="9">
        <v>48.103000000000002</v>
      </c>
      <c r="AC14" s="9">
        <v>1.3560000000000001</v>
      </c>
      <c r="AD14" s="9">
        <v>-1.5289999999999999</v>
      </c>
      <c r="AE14" s="9">
        <v>2.673</v>
      </c>
      <c r="AG14" s="9">
        <v>50.603000000000002</v>
      </c>
      <c r="AH14" s="9">
        <v>1.345</v>
      </c>
      <c r="AI14" s="9">
        <v>-1.587</v>
      </c>
      <c r="AJ14" s="9">
        <v>2.1150000000000002</v>
      </c>
      <c r="AL14" s="9">
        <v>52.475999999999999</v>
      </c>
      <c r="AM14" s="9">
        <v>1.421</v>
      </c>
      <c r="AN14" s="9">
        <v>-1.6679999999999999</v>
      </c>
      <c r="AO14" s="9">
        <v>2.7709999999999999</v>
      </c>
      <c r="AQ14" s="9">
        <v>54.999000000000002</v>
      </c>
      <c r="AR14" s="9">
        <v>1.5269999999999999</v>
      </c>
      <c r="AS14" s="9">
        <v>-1.7689999999999999</v>
      </c>
      <c r="AT14" s="9">
        <v>3.4689999999999999</v>
      </c>
      <c r="AV14" s="9">
        <v>58.226999999999997</v>
      </c>
      <c r="AW14" s="9">
        <v>1.651</v>
      </c>
      <c r="AX14" s="9">
        <v>-1.8959999999999999</v>
      </c>
      <c r="AY14" s="9">
        <v>3.903</v>
      </c>
      <c r="BA14" s="9">
        <v>61.884999999999998</v>
      </c>
      <c r="BB14" s="9">
        <v>1.8160000000000001</v>
      </c>
      <c r="BC14" s="9">
        <v>-2.0259999999999998</v>
      </c>
      <c r="BD14" s="9">
        <v>3.2519999999999998</v>
      </c>
      <c r="BF14" s="9">
        <v>64.926000000000002</v>
      </c>
      <c r="BG14" s="9">
        <v>1.8089999999999999</v>
      </c>
      <c r="BH14" s="9">
        <v>-2.1110000000000002</v>
      </c>
      <c r="BI14" s="9">
        <v>1.93</v>
      </c>
      <c r="BK14" s="9">
        <v>66.555000000000007</v>
      </c>
      <c r="BL14" s="9">
        <v>1.6990000000000001</v>
      </c>
      <c r="BM14" s="9">
        <v>-2.1509999999999998</v>
      </c>
      <c r="BN14" s="9">
        <v>0.42699999999999999</v>
      </c>
      <c r="BP14" s="9">
        <v>66.528999999999996</v>
      </c>
      <c r="BQ14" s="9">
        <v>1.6850000000000001</v>
      </c>
      <c r="BR14" s="9">
        <v>-2.1349999999999998</v>
      </c>
      <c r="BS14" s="9">
        <v>-0.42799999999999999</v>
      </c>
      <c r="BU14" s="9">
        <v>65.650999999999996</v>
      </c>
      <c r="BV14" s="9">
        <v>1.655</v>
      </c>
      <c r="BW14" s="9">
        <v>-2.1190000000000002</v>
      </c>
      <c r="BX14" s="9">
        <v>0.76900000000000002</v>
      </c>
      <c r="BZ14" s="9">
        <v>65.956000000000003</v>
      </c>
      <c r="CA14" s="9">
        <v>1.742</v>
      </c>
      <c r="CB14" s="9">
        <v>-2.181</v>
      </c>
      <c r="CC14" s="9">
        <v>1.754</v>
      </c>
      <c r="CE14" s="9">
        <v>67.271000000000001</v>
      </c>
      <c r="CF14" s="9">
        <v>1.74</v>
      </c>
      <c r="CG14" s="9">
        <v>-2.2290000000000001</v>
      </c>
      <c r="CH14" s="9">
        <v>1.6319999999999999</v>
      </c>
      <c r="CJ14" s="9">
        <v>68.414000000000001</v>
      </c>
      <c r="CK14" s="9">
        <v>1.6379999999999999</v>
      </c>
      <c r="CL14" s="9">
        <v>-2.278</v>
      </c>
      <c r="CM14" s="9">
        <v>2.4510000000000001</v>
      </c>
      <c r="CO14" s="9">
        <v>70.224000000000004</v>
      </c>
      <c r="CP14" s="9">
        <v>1.7330000000000001</v>
      </c>
      <c r="CQ14" s="9">
        <v>-2.379</v>
      </c>
      <c r="CR14" s="9">
        <v>2.7650000000000001</v>
      </c>
      <c r="CT14" s="9">
        <v>72.343999999999994</v>
      </c>
      <c r="CU14" s="9">
        <v>1.85</v>
      </c>
      <c r="CV14" s="9">
        <v>-2.448</v>
      </c>
      <c r="CW14" s="9">
        <v>2.9780000000000002</v>
      </c>
      <c r="CY14" s="9">
        <v>74.722999999999999</v>
      </c>
      <c r="CZ14" s="9">
        <v>2.105</v>
      </c>
      <c r="DA14" s="9">
        <v>-2.5680000000000001</v>
      </c>
      <c r="DB14" s="9">
        <v>3.5169999999999999</v>
      </c>
      <c r="DD14" s="9">
        <v>77.778000000000006</v>
      </c>
      <c r="DE14" s="9">
        <v>2.149</v>
      </c>
      <c r="DF14" s="9">
        <v>-2.67</v>
      </c>
      <c r="DG14" s="9">
        <v>2.113</v>
      </c>
      <c r="DI14" s="9">
        <v>79.37</v>
      </c>
      <c r="DJ14" s="9">
        <v>2.1859999999999999</v>
      </c>
      <c r="DK14" s="9">
        <v>-2.6909999999999998</v>
      </c>
      <c r="DL14" s="9">
        <v>1.512</v>
      </c>
      <c r="DN14" s="9">
        <v>80.376000000000005</v>
      </c>
      <c r="DO14" s="9">
        <v>2.2919999999999998</v>
      </c>
      <c r="DP14" s="9">
        <v>-2.7559999999999998</v>
      </c>
      <c r="DQ14" s="9">
        <v>2.9929999999999999</v>
      </c>
      <c r="DS14" s="9">
        <v>82.903999999999996</v>
      </c>
      <c r="DT14" s="9">
        <v>2.4329999999999998</v>
      </c>
      <c r="DU14" s="9">
        <v>-2.879</v>
      </c>
      <c r="DV14" s="9">
        <v>3.3740000000000001</v>
      </c>
      <c r="DX14" s="9">
        <v>85.831999999999994</v>
      </c>
      <c r="DY14" s="9">
        <v>2.6139999999999999</v>
      </c>
      <c r="DZ14" s="9">
        <v>-2.9689999999999999</v>
      </c>
      <c r="EA14" s="9">
        <v>3.0230000000000001</v>
      </c>
      <c r="EC14" s="9">
        <v>88.5</v>
      </c>
      <c r="ED14" s="9">
        <v>2.774</v>
      </c>
      <c r="EE14" s="9">
        <v>-3.0710000000000002</v>
      </c>
      <c r="EF14" s="9">
        <v>3.39</v>
      </c>
      <c r="EH14" s="9">
        <v>91.593000000000004</v>
      </c>
      <c r="EI14" s="9">
        <v>2.9649999999999999</v>
      </c>
      <c r="EJ14" s="9">
        <v>-3.1869999999999998</v>
      </c>
      <c r="EK14" s="9">
        <v>3.746</v>
      </c>
      <c r="EM14" s="9">
        <v>95.116</v>
      </c>
      <c r="EN14" s="9">
        <v>3.1579999999999999</v>
      </c>
      <c r="EO14" s="9">
        <v>-3.3159999999999998</v>
      </c>
      <c r="EP14" s="9">
        <v>4.79</v>
      </c>
      <c r="ER14" s="9">
        <v>99.748999999999995</v>
      </c>
      <c r="ES14" s="9">
        <v>3.278</v>
      </c>
      <c r="ET14" s="9">
        <v>-3.504</v>
      </c>
      <c r="EU14" s="9">
        <v>3.0329999999999999</v>
      </c>
      <c r="EW14" s="9">
        <v>102.55500000000001</v>
      </c>
      <c r="EX14" s="9">
        <v>2.9649999999999999</v>
      </c>
      <c r="EY14" s="9">
        <v>-3.4990000000000001</v>
      </c>
      <c r="EZ14" s="9">
        <v>3.1259999999999999</v>
      </c>
      <c r="FB14" s="9">
        <v>105.146</v>
      </c>
      <c r="FC14" s="9">
        <v>3.3479999999999999</v>
      </c>
      <c r="FD14" s="9">
        <v>-3.698</v>
      </c>
      <c r="FE14" s="9">
        <v>5.734</v>
      </c>
      <c r="FG14" s="9">
        <v>110.53</v>
      </c>
      <c r="FH14" s="9">
        <v>3.2909999999999999</v>
      </c>
      <c r="FI14" s="9">
        <v>-3.867</v>
      </c>
      <c r="FJ14" s="9">
        <v>4.4080000000000004</v>
      </c>
      <c r="FL14" s="9">
        <v>114.36199999999999</v>
      </c>
      <c r="FM14" s="9">
        <v>3.242</v>
      </c>
      <c r="FN14" s="9">
        <v>-3.964</v>
      </c>
      <c r="FO14" s="9">
        <v>1.9510000000000001</v>
      </c>
      <c r="FQ14" s="9">
        <v>115.59</v>
      </c>
      <c r="FR14" s="9">
        <v>3.5409999999999999</v>
      </c>
      <c r="FS14" s="9">
        <v>-3.9660000000000002</v>
      </c>
      <c r="FT14" s="9">
        <v>-0.16700000000000001</v>
      </c>
      <c r="FV14" s="9">
        <v>114.997</v>
      </c>
      <c r="FW14" s="9">
        <v>3.6840000000000002</v>
      </c>
      <c r="FX14" s="9">
        <v>-3.9260000000000002</v>
      </c>
      <c r="FY14" s="9">
        <v>-2.577</v>
      </c>
      <c r="GA14" s="9">
        <v>112.17700000000001</v>
      </c>
      <c r="GB14" s="9">
        <v>3.637</v>
      </c>
      <c r="GC14" s="9">
        <v>-3.7690000000000001</v>
      </c>
      <c r="GD14" s="9">
        <v>-2.4740000000000002</v>
      </c>
      <c r="GF14" s="9">
        <v>109.571</v>
      </c>
      <c r="GG14" s="9">
        <v>3.8079999999999998</v>
      </c>
      <c r="GH14" s="9">
        <v>-3.74</v>
      </c>
      <c r="GI14" s="9">
        <v>1.0589999999999999</v>
      </c>
      <c r="GK14" s="9">
        <v>110.697</v>
      </c>
      <c r="GL14" s="9">
        <v>4.1879999999999997</v>
      </c>
      <c r="GM14" s="9">
        <v>-3.839</v>
      </c>
      <c r="GN14" s="9">
        <v>2.9830000000000001</v>
      </c>
      <c r="GP14" s="9">
        <v>114.027</v>
      </c>
      <c r="GQ14" s="9">
        <v>4.5119999999999996</v>
      </c>
      <c r="GR14" s="9">
        <v>-3.9529999999999998</v>
      </c>
      <c r="GS14" s="9">
        <v>2.601</v>
      </c>
      <c r="GU14" s="9">
        <v>117.18600000000001</v>
      </c>
      <c r="GV14" s="9">
        <v>4.7750000000000004</v>
      </c>
      <c r="GW14" s="9">
        <v>-4.032</v>
      </c>
      <c r="GX14" s="9">
        <v>0.97299999999999998</v>
      </c>
      <c r="GZ14" s="9">
        <v>118.901</v>
      </c>
      <c r="HA14" s="9">
        <v>4.681</v>
      </c>
      <c r="HB14" s="9">
        <v>-4.0350000000000001</v>
      </c>
      <c r="HC14" s="9">
        <v>2.7029999999999998</v>
      </c>
      <c r="HE14" s="9">
        <v>122.246</v>
      </c>
      <c r="HF14" s="9">
        <v>5.3129999999999997</v>
      </c>
      <c r="HG14" s="9">
        <v>-4.2430000000000003</v>
      </c>
      <c r="HH14" s="9">
        <v>9.8979999999999997</v>
      </c>
      <c r="HJ14" s="9">
        <v>133.21199999999999</v>
      </c>
      <c r="HK14" s="9">
        <v>5.0540000000000003</v>
      </c>
      <c r="HL14" s="9">
        <v>-4.7290000000000001</v>
      </c>
      <c r="HM14" s="9">
        <v>9.6229999999999993</v>
      </c>
      <c r="HO14" s="9">
        <v>143.161</v>
      </c>
      <c r="HP14" s="9">
        <v>4.9889999999999999</v>
      </c>
      <c r="HQ14" s="9">
        <v>-4.8760000000000003</v>
      </c>
      <c r="HR14" s="9">
        <v>3.0059999999999998</v>
      </c>
      <c r="HT14" s="9">
        <v>146.28100000000001</v>
      </c>
      <c r="HU14" s="9">
        <v>4.9539999999999997</v>
      </c>
      <c r="HV14" s="9">
        <v>-4.9249999999999998</v>
      </c>
      <c r="HW14" s="9">
        <v>1.51</v>
      </c>
      <c r="HY14" s="9">
        <v>147.821</v>
      </c>
    </row>
    <row r="15" spans="1:233" x14ac:dyDescent="0.35">
      <c r="A15" s="12" t="s">
        <v>274</v>
      </c>
      <c r="B15" s="12" t="s">
        <v>275</v>
      </c>
      <c r="C15" s="9">
        <v>12.78</v>
      </c>
      <c r="D15" s="9">
        <v>2.5419999999999998</v>
      </c>
      <c r="E15" s="9">
        <v>-2.1309999999999998</v>
      </c>
      <c r="F15" s="9">
        <v>1.59</v>
      </c>
      <c r="H15" s="9">
        <v>14.78</v>
      </c>
      <c r="I15" s="9">
        <v>3.008</v>
      </c>
      <c r="J15" s="9">
        <v>-2.52</v>
      </c>
      <c r="K15" s="9">
        <v>2.2480000000000002</v>
      </c>
      <c r="M15" s="9">
        <v>17.515000000000001</v>
      </c>
      <c r="N15" s="9">
        <v>3.3119999999999998</v>
      </c>
      <c r="O15" s="9">
        <v>-2.9470000000000001</v>
      </c>
      <c r="P15" s="9">
        <v>2.597</v>
      </c>
      <c r="R15" s="9">
        <v>20.475999999999999</v>
      </c>
      <c r="S15" s="9">
        <v>3.65</v>
      </c>
      <c r="T15" s="9">
        <v>-3.419</v>
      </c>
      <c r="U15" s="9">
        <v>2.2250000000000001</v>
      </c>
      <c r="W15" s="9">
        <v>22.931999999999999</v>
      </c>
      <c r="X15" s="9">
        <v>3.6970000000000001</v>
      </c>
      <c r="Y15" s="9">
        <v>-3.6970000000000001</v>
      </c>
      <c r="Z15" s="9">
        <v>1.4219999999999999</v>
      </c>
      <c r="AB15" s="9">
        <v>24.353000000000002</v>
      </c>
      <c r="AC15" s="9">
        <v>4.1020000000000003</v>
      </c>
      <c r="AD15" s="9">
        <v>-3.9249999999999998</v>
      </c>
      <c r="AE15" s="9">
        <v>0.96799999999999997</v>
      </c>
      <c r="AG15" s="9">
        <v>25.495999999999999</v>
      </c>
      <c r="AH15" s="9">
        <v>4.2670000000000003</v>
      </c>
      <c r="AI15" s="9">
        <v>-4.0759999999999996</v>
      </c>
      <c r="AJ15" s="9">
        <v>0.71499999999999997</v>
      </c>
      <c r="AL15" s="9">
        <v>26.402000000000001</v>
      </c>
      <c r="AM15" s="9">
        <v>4.6280000000000001</v>
      </c>
      <c r="AN15" s="9">
        <v>-4.266</v>
      </c>
      <c r="AO15" s="9">
        <v>0.624</v>
      </c>
      <c r="AQ15" s="9">
        <v>27.388000000000002</v>
      </c>
      <c r="AR15" s="9">
        <v>5.0359999999999996</v>
      </c>
      <c r="AS15" s="9">
        <v>-4.4379999999999997</v>
      </c>
      <c r="AT15" s="9">
        <v>0.47799999999999998</v>
      </c>
      <c r="AV15" s="9">
        <v>28.462</v>
      </c>
      <c r="AW15" s="9">
        <v>5.4509999999999996</v>
      </c>
      <c r="AX15" s="9">
        <v>-4.6280000000000001</v>
      </c>
      <c r="AY15" s="9">
        <v>0.57699999999999996</v>
      </c>
      <c r="BA15" s="9">
        <v>29.861999999999998</v>
      </c>
      <c r="BB15" s="9">
        <v>6.1029999999999998</v>
      </c>
      <c r="BC15" s="9">
        <v>-4.9080000000000004</v>
      </c>
      <c r="BD15" s="9">
        <v>0.69299999999999995</v>
      </c>
      <c r="BF15" s="9">
        <v>31.748999999999999</v>
      </c>
      <c r="BG15" s="9">
        <v>5.8449999999999998</v>
      </c>
      <c r="BH15" s="9">
        <v>-5.1379999999999999</v>
      </c>
      <c r="BI15" s="9">
        <v>0.89200000000000002</v>
      </c>
      <c r="BK15" s="9">
        <v>33.347000000000001</v>
      </c>
      <c r="BL15" s="9">
        <v>5.08</v>
      </c>
      <c r="BM15" s="9">
        <v>-5.3170000000000002</v>
      </c>
      <c r="BN15" s="9">
        <v>0.58199999999999996</v>
      </c>
      <c r="BP15" s="9">
        <v>33.692999999999998</v>
      </c>
      <c r="BQ15" s="9">
        <v>4.4329999999999998</v>
      </c>
      <c r="BR15" s="9">
        <v>-5.2489999999999997</v>
      </c>
      <c r="BS15" s="9">
        <v>-0.27700000000000002</v>
      </c>
      <c r="BU15" s="9">
        <v>32.600999999999999</v>
      </c>
      <c r="BV15" s="9">
        <v>4.1139999999999999</v>
      </c>
      <c r="BW15" s="9">
        <v>-5.0590000000000002</v>
      </c>
      <c r="BX15" s="9">
        <v>-0.26100000000000001</v>
      </c>
      <c r="BZ15" s="9">
        <v>31.396000000000001</v>
      </c>
      <c r="CA15" s="9">
        <v>4.7910000000000004</v>
      </c>
      <c r="CB15" s="9">
        <v>-5.0350000000000001</v>
      </c>
      <c r="CC15" s="9">
        <v>-0.16900000000000001</v>
      </c>
      <c r="CE15" s="9">
        <v>30.981999999999999</v>
      </c>
      <c r="CF15" s="9">
        <v>5.0190000000000001</v>
      </c>
      <c r="CG15" s="9">
        <v>-4.9649999999999999</v>
      </c>
      <c r="CH15" s="9">
        <v>-5.3999999999999999E-2</v>
      </c>
      <c r="CJ15" s="9">
        <v>30.981999999999999</v>
      </c>
      <c r="CK15" s="9">
        <v>4.6900000000000004</v>
      </c>
      <c r="CL15" s="9">
        <v>-4.9560000000000004</v>
      </c>
      <c r="CM15" s="9">
        <v>7.0999999999999994E-2</v>
      </c>
      <c r="CO15" s="9">
        <v>30.786000000000001</v>
      </c>
      <c r="CP15" s="9">
        <v>4.7210000000000001</v>
      </c>
      <c r="CQ15" s="9">
        <v>-4.8780000000000001</v>
      </c>
      <c r="CR15" s="9">
        <v>-0.22500000000000001</v>
      </c>
      <c r="CT15" s="9">
        <v>30.404</v>
      </c>
      <c r="CU15" s="9">
        <v>4.7789999999999999</v>
      </c>
      <c r="CV15" s="9">
        <v>-4.8079999999999998</v>
      </c>
      <c r="CW15" s="9">
        <v>-0.11600000000000001</v>
      </c>
      <c r="CY15" s="9">
        <v>30.260999999999999</v>
      </c>
      <c r="CZ15" s="9">
        <v>4.484</v>
      </c>
      <c r="DA15" s="9">
        <v>-4.7720000000000002</v>
      </c>
      <c r="DB15" s="9">
        <v>0.73199999999999998</v>
      </c>
      <c r="DD15" s="9">
        <v>30.704999999999998</v>
      </c>
      <c r="DE15" s="9">
        <v>4.4690000000000003</v>
      </c>
      <c r="DF15" s="9">
        <v>-4.9240000000000004</v>
      </c>
      <c r="DG15" s="9">
        <v>1.0720000000000001</v>
      </c>
      <c r="DI15" s="9">
        <v>31.321999999999999</v>
      </c>
      <c r="DJ15" s="9">
        <v>4.25</v>
      </c>
      <c r="DK15" s="9">
        <v>-4.9509999999999996</v>
      </c>
      <c r="DL15" s="9">
        <v>0.42799999999999999</v>
      </c>
      <c r="DN15" s="9">
        <v>31.047999999999998</v>
      </c>
      <c r="DO15" s="9">
        <v>4.3369999999999997</v>
      </c>
      <c r="DP15" s="9">
        <v>-4.899</v>
      </c>
      <c r="DQ15" s="9">
        <v>0.14599999999999999</v>
      </c>
      <c r="DS15" s="9">
        <v>30.632000000000001</v>
      </c>
      <c r="DT15" s="9">
        <v>4.601</v>
      </c>
      <c r="DU15" s="9">
        <v>-4.9039999999999999</v>
      </c>
      <c r="DV15" s="9">
        <v>0.318</v>
      </c>
      <c r="DX15" s="9">
        <v>30.646000000000001</v>
      </c>
      <c r="DY15" s="9">
        <v>4.3140000000000001</v>
      </c>
      <c r="DZ15" s="9">
        <v>-4.9240000000000004</v>
      </c>
      <c r="EA15" s="9">
        <v>0.81299999999999994</v>
      </c>
      <c r="EC15" s="9">
        <v>30.852</v>
      </c>
      <c r="ED15" s="9">
        <v>4.3090000000000002</v>
      </c>
      <c r="EE15" s="9">
        <v>-5.0380000000000003</v>
      </c>
      <c r="EF15" s="9">
        <v>0.76</v>
      </c>
      <c r="EH15" s="9">
        <v>30.882999999999999</v>
      </c>
      <c r="EI15" s="9">
        <v>4.2439999999999998</v>
      </c>
      <c r="EJ15" s="9">
        <v>-5.0279999999999996</v>
      </c>
      <c r="EK15" s="9">
        <v>0.51300000000000001</v>
      </c>
      <c r="EM15" s="9">
        <v>30.611999999999998</v>
      </c>
      <c r="EN15" s="9">
        <v>4.4790000000000001</v>
      </c>
      <c r="EO15" s="9">
        <v>-5.0490000000000004</v>
      </c>
      <c r="EP15" s="9">
        <v>0.49199999999999999</v>
      </c>
      <c r="ER15" s="9">
        <v>30.533999999999999</v>
      </c>
      <c r="ES15" s="9">
        <v>4.383</v>
      </c>
      <c r="ET15" s="9">
        <v>-4.9930000000000003</v>
      </c>
      <c r="EU15" s="9">
        <v>0.52700000000000002</v>
      </c>
      <c r="EW15" s="9">
        <v>30.449000000000002</v>
      </c>
      <c r="EX15" s="9">
        <v>3.8929999999999998</v>
      </c>
      <c r="EY15" s="9">
        <v>-4.9349999999999996</v>
      </c>
      <c r="EZ15" s="9">
        <v>0.40100000000000002</v>
      </c>
      <c r="FB15" s="9">
        <v>29.806999999999999</v>
      </c>
      <c r="FC15" s="9">
        <v>3.5670000000000002</v>
      </c>
      <c r="FD15" s="9">
        <v>-4.7629999999999999</v>
      </c>
      <c r="FE15" s="9">
        <v>0.27</v>
      </c>
      <c r="FG15" s="9">
        <v>28.881</v>
      </c>
      <c r="FH15" s="9">
        <v>4.048</v>
      </c>
      <c r="FI15" s="9">
        <v>-4.7119999999999997</v>
      </c>
      <c r="FJ15" s="9">
        <v>0.59899999999999998</v>
      </c>
      <c r="FL15" s="9">
        <v>28.814</v>
      </c>
      <c r="FM15" s="9">
        <v>4.3140000000000001</v>
      </c>
      <c r="FN15" s="9">
        <v>-4.7190000000000003</v>
      </c>
      <c r="FO15" s="9">
        <v>0.53900000000000003</v>
      </c>
      <c r="FQ15" s="9">
        <v>28.946000000000002</v>
      </c>
      <c r="FR15" s="9">
        <v>4.077</v>
      </c>
      <c r="FS15" s="9">
        <v>-4.6580000000000004</v>
      </c>
      <c r="FT15" s="9">
        <v>0.313</v>
      </c>
      <c r="FV15" s="9">
        <v>28.678000000000001</v>
      </c>
      <c r="FW15" s="9">
        <v>3.859</v>
      </c>
      <c r="FX15" s="9">
        <v>-4.5869999999999997</v>
      </c>
      <c r="FY15" s="9">
        <v>3.9E-2</v>
      </c>
      <c r="GA15" s="9">
        <v>27.988</v>
      </c>
      <c r="GB15" s="9">
        <v>3.875</v>
      </c>
      <c r="GC15" s="9">
        <v>-4.4690000000000003</v>
      </c>
      <c r="GD15" s="9">
        <v>-0.20799999999999999</v>
      </c>
      <c r="GF15" s="9">
        <v>27.184999999999999</v>
      </c>
      <c r="GG15" s="9">
        <v>3.8079999999999998</v>
      </c>
      <c r="GH15" s="9">
        <v>-4.3600000000000003</v>
      </c>
      <c r="GI15" s="9">
        <v>-8.9999999999999993E-3</v>
      </c>
      <c r="GK15" s="9">
        <v>26.623999999999999</v>
      </c>
      <c r="GL15" s="9">
        <v>4.1139999999999999</v>
      </c>
      <c r="GM15" s="9">
        <v>-4.3570000000000002</v>
      </c>
      <c r="GN15" s="9">
        <v>0.40100000000000002</v>
      </c>
      <c r="GP15" s="9">
        <v>26.780999999999999</v>
      </c>
      <c r="GQ15" s="9">
        <v>4.25</v>
      </c>
      <c r="GR15" s="9">
        <v>-4.4320000000000004</v>
      </c>
      <c r="GS15" s="9">
        <v>0.52900000000000003</v>
      </c>
      <c r="GU15" s="9">
        <v>27.126999999999999</v>
      </c>
      <c r="GV15" s="9">
        <v>4.5869999999999997</v>
      </c>
      <c r="GW15" s="9">
        <v>-4.5110000000000001</v>
      </c>
      <c r="GX15" s="9">
        <v>0.53900000000000003</v>
      </c>
      <c r="GZ15" s="9">
        <v>27.741</v>
      </c>
      <c r="HA15" s="9">
        <v>4.6619999999999999</v>
      </c>
      <c r="HB15" s="9">
        <v>-4.6289999999999996</v>
      </c>
      <c r="HC15" s="9">
        <v>0.753</v>
      </c>
      <c r="HE15" s="9">
        <v>28.527000000000001</v>
      </c>
      <c r="HF15" s="9">
        <v>4.6980000000000004</v>
      </c>
      <c r="HG15" s="9">
        <v>-4.7930000000000001</v>
      </c>
      <c r="HH15" s="9">
        <v>1.151</v>
      </c>
      <c r="HJ15" s="9">
        <v>29.582000000000001</v>
      </c>
      <c r="HK15" s="9">
        <v>3.859</v>
      </c>
      <c r="HL15" s="9">
        <v>-4.8330000000000002</v>
      </c>
      <c r="HM15" s="9">
        <v>1.6850000000000001</v>
      </c>
      <c r="HO15" s="9">
        <v>30.295000000000002</v>
      </c>
      <c r="HP15" s="9">
        <v>4.1429999999999998</v>
      </c>
      <c r="HQ15" s="9">
        <v>-5.0650000000000004</v>
      </c>
      <c r="HR15" s="9">
        <v>1.427</v>
      </c>
      <c r="HT15" s="9">
        <v>30.800999999999998</v>
      </c>
      <c r="HU15" s="9">
        <v>3.6030000000000002</v>
      </c>
      <c r="HV15" s="9">
        <v>-4.9409999999999998</v>
      </c>
      <c r="HW15" s="9">
        <v>0.33700000000000002</v>
      </c>
      <c r="HY15" s="9">
        <v>29.8</v>
      </c>
    </row>
    <row r="16" spans="1:233" x14ac:dyDescent="0.35">
      <c r="A16" s="12" t="s">
        <v>276</v>
      </c>
      <c r="B16" s="12" t="s">
        <v>277</v>
      </c>
      <c r="C16" s="9">
        <v>1.4430000000000001</v>
      </c>
      <c r="D16" s="9">
        <v>0.44</v>
      </c>
      <c r="E16" s="9">
        <v>-0.41099999999999998</v>
      </c>
      <c r="F16" s="9">
        <v>0.154</v>
      </c>
      <c r="H16" s="9">
        <v>1.6259999999999999</v>
      </c>
      <c r="I16" s="9">
        <v>0.499</v>
      </c>
      <c r="J16" s="9">
        <v>-0.46899999999999997</v>
      </c>
      <c r="K16" s="9">
        <v>0.19400000000000001</v>
      </c>
      <c r="M16" s="9">
        <v>1.85</v>
      </c>
      <c r="N16" s="9">
        <v>0.52500000000000002</v>
      </c>
      <c r="O16" s="9">
        <v>-0.52400000000000002</v>
      </c>
      <c r="P16" s="9">
        <v>0.21199999999999999</v>
      </c>
      <c r="R16" s="9">
        <v>2.0630000000000002</v>
      </c>
      <c r="S16" s="9">
        <v>0.60199999999999998</v>
      </c>
      <c r="T16" s="9">
        <v>-0.58799999999999997</v>
      </c>
      <c r="U16" s="9">
        <v>0.20399999999999999</v>
      </c>
      <c r="W16" s="9">
        <v>2.2799999999999998</v>
      </c>
      <c r="X16" s="9">
        <v>0.621</v>
      </c>
      <c r="Y16" s="9">
        <v>-0.63500000000000001</v>
      </c>
      <c r="Z16" s="9">
        <v>0.14099999999999999</v>
      </c>
      <c r="AB16" s="9">
        <v>2.407</v>
      </c>
      <c r="AC16" s="9">
        <v>0.64200000000000002</v>
      </c>
      <c r="AD16" s="9">
        <v>-0.65900000000000003</v>
      </c>
      <c r="AE16" s="9">
        <v>0.1</v>
      </c>
      <c r="AG16" s="9">
        <v>2.4900000000000002</v>
      </c>
      <c r="AH16" s="9">
        <v>0.68200000000000005</v>
      </c>
      <c r="AI16" s="9">
        <v>-0.68500000000000005</v>
      </c>
      <c r="AJ16" s="9">
        <v>0.129</v>
      </c>
      <c r="AL16" s="9">
        <v>2.617</v>
      </c>
      <c r="AM16" s="9">
        <v>0.78200000000000003</v>
      </c>
      <c r="AN16" s="9">
        <v>-0.73199999999999998</v>
      </c>
      <c r="AO16" s="9">
        <v>0.11899999999999999</v>
      </c>
      <c r="AQ16" s="9">
        <v>2.7850000000000001</v>
      </c>
      <c r="AR16" s="9">
        <v>0.84899999999999998</v>
      </c>
      <c r="AS16" s="9">
        <v>-0.77</v>
      </c>
      <c r="AT16" s="9">
        <v>7.4999999999999997E-2</v>
      </c>
      <c r="AV16" s="9">
        <v>2.94</v>
      </c>
      <c r="AW16" s="9">
        <v>0.90900000000000003</v>
      </c>
      <c r="AX16" s="9">
        <v>-0.80700000000000005</v>
      </c>
      <c r="AY16" s="9">
        <v>0.09</v>
      </c>
      <c r="BA16" s="9">
        <v>3.1320000000000001</v>
      </c>
      <c r="BB16" s="9">
        <v>1.0389999999999999</v>
      </c>
      <c r="BC16" s="9">
        <v>-0.873</v>
      </c>
      <c r="BD16" s="9">
        <v>0.126</v>
      </c>
      <c r="BF16" s="9">
        <v>3.423</v>
      </c>
      <c r="BG16" s="9">
        <v>1.0249999999999999</v>
      </c>
      <c r="BH16" s="9">
        <v>-0.93400000000000005</v>
      </c>
      <c r="BI16" s="9">
        <v>0.109</v>
      </c>
      <c r="BK16" s="9">
        <v>3.6230000000000002</v>
      </c>
      <c r="BL16" s="9">
        <v>0.85</v>
      </c>
      <c r="BM16" s="9">
        <v>-0.95199999999999996</v>
      </c>
      <c r="BN16" s="9">
        <v>1.4E-2</v>
      </c>
      <c r="BP16" s="9">
        <v>3.5350000000000001</v>
      </c>
      <c r="BQ16" s="9">
        <v>0.73399999999999999</v>
      </c>
      <c r="BR16" s="9">
        <v>-0.91100000000000003</v>
      </c>
      <c r="BS16" s="9">
        <v>-5.0999999999999997E-2</v>
      </c>
      <c r="BU16" s="9">
        <v>3.3069999999999999</v>
      </c>
      <c r="BV16" s="9">
        <v>0.69399999999999995</v>
      </c>
      <c r="BW16" s="9">
        <v>-0.86599999999999999</v>
      </c>
      <c r="BX16" s="9">
        <v>-1.4999999999999999E-2</v>
      </c>
      <c r="BZ16" s="9">
        <v>3.12</v>
      </c>
      <c r="CA16" s="9">
        <v>0.85799999999999998</v>
      </c>
      <c r="CB16" s="9">
        <v>-0.85599999999999998</v>
      </c>
      <c r="CC16" s="9">
        <v>1E-3</v>
      </c>
      <c r="CE16" s="9">
        <v>3.1230000000000002</v>
      </c>
      <c r="CF16" s="9">
        <v>0.94099999999999995</v>
      </c>
      <c r="CG16" s="9">
        <v>-0.85599999999999998</v>
      </c>
      <c r="CH16" s="9">
        <v>-1.2E-2</v>
      </c>
      <c r="CJ16" s="9">
        <v>3.1970000000000001</v>
      </c>
      <c r="CK16" s="9">
        <v>0.76100000000000001</v>
      </c>
      <c r="CL16" s="9">
        <v>-0.83799999999999997</v>
      </c>
      <c r="CM16" s="9">
        <v>-0.1</v>
      </c>
      <c r="CO16" s="9">
        <v>3.02</v>
      </c>
      <c r="CP16" s="9">
        <v>0.75600000000000001</v>
      </c>
      <c r="CQ16" s="9">
        <v>-0.78100000000000003</v>
      </c>
      <c r="CR16" s="9">
        <v>-0.14699999999999999</v>
      </c>
      <c r="CT16" s="9">
        <v>2.847</v>
      </c>
      <c r="CU16" s="9">
        <v>0.83899999999999997</v>
      </c>
      <c r="CV16" s="9">
        <v>-0.76600000000000001</v>
      </c>
      <c r="CW16" s="9">
        <v>-7.0000000000000007E-2</v>
      </c>
      <c r="CY16" s="9">
        <v>2.85</v>
      </c>
      <c r="CZ16" s="9">
        <v>0.78700000000000003</v>
      </c>
      <c r="DA16" s="9">
        <v>-0.75900000000000001</v>
      </c>
      <c r="DB16" s="9">
        <v>-0.01</v>
      </c>
      <c r="DD16" s="9">
        <v>2.867</v>
      </c>
      <c r="DE16" s="9">
        <v>0.91400000000000003</v>
      </c>
      <c r="DF16" s="9">
        <v>-0.78800000000000003</v>
      </c>
      <c r="DG16" s="9">
        <v>0.03</v>
      </c>
      <c r="DI16" s="9">
        <v>3.0230000000000001</v>
      </c>
      <c r="DJ16" s="9">
        <v>0.95799999999999996</v>
      </c>
      <c r="DK16" s="9">
        <v>-0.82599999999999996</v>
      </c>
      <c r="DL16" s="9">
        <v>2.1999999999999999E-2</v>
      </c>
      <c r="DN16" s="9">
        <v>3.1779999999999999</v>
      </c>
      <c r="DO16" s="9">
        <v>1.0089999999999999</v>
      </c>
      <c r="DP16" s="9">
        <v>-0.86</v>
      </c>
      <c r="DQ16" s="9">
        <v>2.4E-2</v>
      </c>
      <c r="DS16" s="9">
        <v>3.35</v>
      </c>
      <c r="DT16" s="9">
        <v>1.2689999999999999</v>
      </c>
      <c r="DU16" s="9">
        <v>-0.93799999999999994</v>
      </c>
      <c r="DV16" s="9">
        <v>0.05</v>
      </c>
      <c r="DX16" s="9">
        <v>3.7309999999999999</v>
      </c>
      <c r="DY16" s="9">
        <v>1.1910000000000001</v>
      </c>
      <c r="DZ16" s="9">
        <v>-1.0009999999999999</v>
      </c>
      <c r="EA16" s="9">
        <v>0.13200000000000001</v>
      </c>
      <c r="EC16" s="9">
        <v>4.0529999999999999</v>
      </c>
      <c r="ED16" s="9">
        <v>1.119</v>
      </c>
      <c r="EE16" s="9">
        <v>-1.0840000000000001</v>
      </c>
      <c r="EF16" s="9">
        <v>0.17100000000000001</v>
      </c>
      <c r="EH16" s="9">
        <v>4.2590000000000003</v>
      </c>
      <c r="EI16" s="9">
        <v>1.2190000000000001</v>
      </c>
      <c r="EJ16" s="9">
        <v>-1.1439999999999999</v>
      </c>
      <c r="EK16" s="9">
        <v>0.1</v>
      </c>
      <c r="EM16" s="9">
        <v>4.4340000000000002</v>
      </c>
      <c r="EN16" s="9">
        <v>1.288</v>
      </c>
      <c r="EO16" s="9">
        <v>-1.19</v>
      </c>
      <c r="EP16" s="9">
        <v>8.6999999999999994E-2</v>
      </c>
      <c r="ER16" s="9">
        <v>4.6189999999999998</v>
      </c>
      <c r="ES16" s="9">
        <v>0.89400000000000002</v>
      </c>
      <c r="ET16" s="9">
        <v>-1.177</v>
      </c>
      <c r="EU16" s="9">
        <v>5.5E-2</v>
      </c>
      <c r="EW16" s="9">
        <v>4.391</v>
      </c>
      <c r="EX16" s="9">
        <v>0.79500000000000004</v>
      </c>
      <c r="EY16" s="9">
        <v>-1.121</v>
      </c>
      <c r="EZ16" s="9">
        <v>1.2E-2</v>
      </c>
      <c r="FB16" s="9">
        <v>4.077</v>
      </c>
      <c r="FC16" s="9">
        <v>0.76600000000000001</v>
      </c>
      <c r="FD16" s="9">
        <v>-1.0589999999999999</v>
      </c>
      <c r="FE16" s="9">
        <v>4.2999999999999997E-2</v>
      </c>
      <c r="FG16" s="9">
        <v>3.8279999999999998</v>
      </c>
      <c r="FH16" s="9">
        <v>0.89700000000000002</v>
      </c>
      <c r="FI16" s="9">
        <v>-1.03</v>
      </c>
      <c r="FJ16" s="9">
        <v>7.0000000000000007E-2</v>
      </c>
      <c r="FL16" s="9">
        <v>3.7639999999999998</v>
      </c>
      <c r="FM16" s="9">
        <v>0.78900000000000003</v>
      </c>
      <c r="FN16" s="9">
        <v>-0.99099999999999999</v>
      </c>
      <c r="FO16" s="9">
        <v>3.5999999999999997E-2</v>
      </c>
      <c r="FQ16" s="9">
        <v>3.5990000000000002</v>
      </c>
      <c r="FR16" s="9">
        <v>0.73199999999999998</v>
      </c>
      <c r="FS16" s="9">
        <v>-0.93700000000000006</v>
      </c>
      <c r="FT16" s="9">
        <v>3.2000000000000001E-2</v>
      </c>
      <c r="FV16" s="9">
        <v>3.427</v>
      </c>
      <c r="FW16" s="9">
        <v>0.78900000000000003</v>
      </c>
      <c r="FX16" s="9">
        <v>-0.91500000000000004</v>
      </c>
      <c r="FY16" s="9">
        <v>5.5E-2</v>
      </c>
      <c r="GA16" s="9">
        <v>3.3559999999999999</v>
      </c>
      <c r="GB16" s="9">
        <v>0.78</v>
      </c>
      <c r="GC16" s="9">
        <v>-0.88900000000000001</v>
      </c>
      <c r="GD16" s="9">
        <v>0.03</v>
      </c>
      <c r="GF16" s="9">
        <v>3.278</v>
      </c>
      <c r="GG16" s="9">
        <v>0.78500000000000003</v>
      </c>
      <c r="GH16" s="9">
        <v>-0.86699999999999999</v>
      </c>
      <c r="GI16" s="9">
        <v>2.1000000000000001E-2</v>
      </c>
      <c r="GK16" s="9">
        <v>3.2170000000000001</v>
      </c>
      <c r="GL16" s="9">
        <v>0.97899999999999998</v>
      </c>
      <c r="GM16" s="9">
        <v>-0.877</v>
      </c>
      <c r="GN16" s="9">
        <v>2.3E-2</v>
      </c>
      <c r="GP16" s="9">
        <v>3.3420000000000001</v>
      </c>
      <c r="GQ16" s="9">
        <v>0.90900000000000003</v>
      </c>
      <c r="GR16" s="9">
        <v>-0.88700000000000001</v>
      </c>
      <c r="GS16" s="9">
        <v>5.2999999999999999E-2</v>
      </c>
      <c r="GU16" s="9">
        <v>3.4169999999999998</v>
      </c>
      <c r="GV16" s="9">
        <v>1.1020000000000001</v>
      </c>
      <c r="GW16" s="9">
        <v>-0.93500000000000005</v>
      </c>
      <c r="GX16" s="9">
        <v>8.4000000000000005E-2</v>
      </c>
      <c r="GZ16" s="9">
        <v>3.669</v>
      </c>
      <c r="HA16" s="9">
        <v>1.03</v>
      </c>
      <c r="HB16" s="9">
        <v>-0.97899999999999998</v>
      </c>
      <c r="HC16" s="9">
        <v>0.16200000000000001</v>
      </c>
      <c r="HE16" s="9">
        <v>3.883</v>
      </c>
      <c r="HF16" s="9">
        <v>1.073</v>
      </c>
      <c r="HG16" s="9">
        <v>-1.052</v>
      </c>
      <c r="HH16" s="9">
        <v>0.28299999999999997</v>
      </c>
      <c r="HJ16" s="9">
        <v>4.1870000000000003</v>
      </c>
      <c r="HK16" s="9">
        <v>0.59</v>
      </c>
      <c r="HL16" s="9">
        <v>-1.036</v>
      </c>
      <c r="HM16" s="9">
        <v>0.17199999999999999</v>
      </c>
      <c r="HO16" s="9">
        <v>3.9129999999999998</v>
      </c>
      <c r="HP16" s="9">
        <v>0.755</v>
      </c>
      <c r="HQ16" s="9">
        <v>-1.0269999999999999</v>
      </c>
      <c r="HR16" s="9">
        <v>8.5000000000000006E-2</v>
      </c>
      <c r="HT16" s="9">
        <v>3.726</v>
      </c>
      <c r="HU16" s="9">
        <v>0.77100000000000002</v>
      </c>
      <c r="HV16" s="9">
        <v>-0.97699999999999998</v>
      </c>
      <c r="HW16" s="9">
        <v>1.2999999999999999E-2</v>
      </c>
      <c r="HY16" s="9">
        <v>3.532</v>
      </c>
    </row>
    <row r="17" spans="1:233" x14ac:dyDescent="0.35">
      <c r="A17" s="12" t="s">
        <v>278</v>
      </c>
      <c r="B17" s="12" t="s">
        <v>279</v>
      </c>
      <c r="C17" s="9">
        <v>0.158</v>
      </c>
      <c r="D17" s="9">
        <v>7.0000000000000007E-2</v>
      </c>
      <c r="E17" s="9">
        <v>-0.06</v>
      </c>
      <c r="F17" s="9">
        <v>1.7999999999999999E-2</v>
      </c>
      <c r="H17" s="9">
        <v>0.185</v>
      </c>
      <c r="I17" s="9">
        <v>0.09</v>
      </c>
      <c r="J17" s="9">
        <v>-7.3999999999999996E-2</v>
      </c>
      <c r="K17" s="9">
        <v>2.8000000000000001E-2</v>
      </c>
      <c r="M17" s="9">
        <v>0.22900000000000001</v>
      </c>
      <c r="N17" s="9">
        <v>9.1999999999999998E-2</v>
      </c>
      <c r="O17" s="9">
        <v>-8.6999999999999994E-2</v>
      </c>
      <c r="P17" s="9">
        <v>3.3000000000000002E-2</v>
      </c>
      <c r="R17" s="9">
        <v>0.26700000000000002</v>
      </c>
      <c r="S17" s="9">
        <v>0.112</v>
      </c>
      <c r="T17" s="9">
        <v>-0.10299999999999999</v>
      </c>
      <c r="U17" s="9">
        <v>3.5999999999999997E-2</v>
      </c>
      <c r="W17" s="9">
        <v>0.311</v>
      </c>
      <c r="X17" s="9">
        <v>0.126</v>
      </c>
      <c r="Y17" s="9">
        <v>-0.12</v>
      </c>
      <c r="Z17" s="9">
        <v>2.4E-2</v>
      </c>
      <c r="AB17" s="9">
        <v>0.34</v>
      </c>
      <c r="AC17" s="9">
        <v>0.16200000000000001</v>
      </c>
      <c r="AD17" s="9">
        <v>-0.13100000000000001</v>
      </c>
      <c r="AE17" s="9">
        <v>1.9E-2</v>
      </c>
      <c r="AG17" s="9">
        <v>0.38800000000000001</v>
      </c>
      <c r="AH17" s="9">
        <v>0.17699999999999999</v>
      </c>
      <c r="AI17" s="9">
        <v>-0.14899999999999999</v>
      </c>
      <c r="AJ17" s="9">
        <v>2.8000000000000001E-2</v>
      </c>
      <c r="AL17" s="9">
        <v>0.443</v>
      </c>
      <c r="AM17" s="9">
        <v>0.214</v>
      </c>
      <c r="AN17" s="9">
        <v>-0.17100000000000001</v>
      </c>
      <c r="AO17" s="9">
        <v>2.1000000000000001E-2</v>
      </c>
      <c r="AQ17" s="9">
        <v>0.50700000000000001</v>
      </c>
      <c r="AR17" s="9">
        <v>0.23899999999999999</v>
      </c>
      <c r="AS17" s="9">
        <v>-0.19400000000000001</v>
      </c>
      <c r="AT17" s="9">
        <v>1.2999999999999999E-2</v>
      </c>
      <c r="AV17" s="9">
        <v>0.56399999999999995</v>
      </c>
      <c r="AW17" s="9">
        <v>0.28199999999999997</v>
      </c>
      <c r="AX17" s="9">
        <v>-0.21299999999999999</v>
      </c>
      <c r="AY17" s="9">
        <v>-4.0000000000000001E-3</v>
      </c>
      <c r="BA17" s="9">
        <v>0.628</v>
      </c>
      <c r="BB17" s="9">
        <v>0.27400000000000002</v>
      </c>
      <c r="BC17" s="9">
        <v>-0.23100000000000001</v>
      </c>
      <c r="BD17" s="9">
        <v>-1.6E-2</v>
      </c>
      <c r="BF17" s="9">
        <v>0.65400000000000003</v>
      </c>
      <c r="BG17" s="9">
        <v>0.27</v>
      </c>
      <c r="BH17" s="9">
        <v>-0.23499999999999999</v>
      </c>
      <c r="BI17" s="9">
        <v>-0.02</v>
      </c>
      <c r="BK17" s="9">
        <v>0.66800000000000004</v>
      </c>
      <c r="BL17" s="9">
        <v>0.22800000000000001</v>
      </c>
      <c r="BM17" s="9">
        <v>-0.23699999999999999</v>
      </c>
      <c r="BN17" s="9">
        <v>-0.01</v>
      </c>
      <c r="BP17" s="9">
        <v>0.64900000000000002</v>
      </c>
      <c r="BQ17" s="9">
        <v>0.222</v>
      </c>
      <c r="BR17" s="9">
        <v>-0.23300000000000001</v>
      </c>
      <c r="BS17" s="9">
        <v>-1.2E-2</v>
      </c>
      <c r="BU17" s="9">
        <v>0.626</v>
      </c>
      <c r="BV17" s="9">
        <v>0.19800000000000001</v>
      </c>
      <c r="BW17" s="9">
        <v>-0.22600000000000001</v>
      </c>
      <c r="BX17" s="9">
        <v>0.01</v>
      </c>
      <c r="BZ17" s="9">
        <v>0.60799999999999998</v>
      </c>
      <c r="CA17" s="9">
        <v>0.247</v>
      </c>
      <c r="CB17" s="9">
        <v>-0.23400000000000001</v>
      </c>
      <c r="CC17" s="9">
        <v>-1.4999999999999999E-2</v>
      </c>
      <c r="CE17" s="9">
        <v>0.60599999999999998</v>
      </c>
      <c r="CF17" s="9">
        <v>0.22500000000000001</v>
      </c>
      <c r="CG17" s="9">
        <v>-0.217</v>
      </c>
      <c r="CH17" s="9">
        <v>-2.1000000000000001E-2</v>
      </c>
      <c r="CJ17" s="9">
        <v>0.59199999999999997</v>
      </c>
      <c r="CK17" s="9">
        <v>0.19900000000000001</v>
      </c>
      <c r="CL17" s="9">
        <v>-0.21299999999999999</v>
      </c>
      <c r="CM17" s="9">
        <v>-1.4E-2</v>
      </c>
      <c r="CO17" s="9">
        <v>0.56399999999999995</v>
      </c>
      <c r="CP17" s="9">
        <v>0.19</v>
      </c>
      <c r="CQ17" s="9">
        <v>-0.20300000000000001</v>
      </c>
      <c r="CR17" s="9">
        <v>-1.0999999999999999E-2</v>
      </c>
      <c r="CT17" s="9">
        <v>0.54</v>
      </c>
      <c r="CU17" s="9">
        <v>0.19400000000000001</v>
      </c>
      <c r="CV17" s="9">
        <v>-0.19800000000000001</v>
      </c>
      <c r="CW17" s="9">
        <v>-1.7999999999999999E-2</v>
      </c>
      <c r="CY17" s="9">
        <v>0.51900000000000002</v>
      </c>
      <c r="CZ17" s="9">
        <v>0.20899999999999999</v>
      </c>
      <c r="DA17" s="9">
        <v>-0.193</v>
      </c>
      <c r="DB17" s="9">
        <v>-6.0000000000000001E-3</v>
      </c>
      <c r="DD17" s="9">
        <v>0.52900000000000003</v>
      </c>
      <c r="DE17" s="9">
        <v>0.19400000000000001</v>
      </c>
      <c r="DF17" s="9">
        <v>-0.19400000000000001</v>
      </c>
      <c r="DG17" s="9">
        <v>-2.5000000000000001E-2</v>
      </c>
      <c r="DI17" s="9">
        <v>0.504</v>
      </c>
      <c r="DJ17" s="9">
        <v>0.17699999999999999</v>
      </c>
      <c r="DK17" s="9">
        <v>-0.17699999999999999</v>
      </c>
      <c r="DL17" s="9">
        <v>-5.3999999999999999E-2</v>
      </c>
      <c r="DN17" s="9">
        <v>0.45</v>
      </c>
      <c r="DO17" s="9">
        <v>0.14699999999999999</v>
      </c>
      <c r="DP17" s="9">
        <v>-0.152</v>
      </c>
      <c r="DQ17" s="9">
        <v>-4.1000000000000002E-2</v>
      </c>
      <c r="DS17" s="9">
        <v>0.40400000000000003</v>
      </c>
      <c r="DT17" s="9">
        <v>0.14699999999999999</v>
      </c>
      <c r="DU17" s="9">
        <v>-0.14199999999999999</v>
      </c>
      <c r="DV17" s="9">
        <v>-1.0999999999999999E-2</v>
      </c>
      <c r="DX17" s="9">
        <v>0.39900000000000002</v>
      </c>
      <c r="DY17" s="9">
        <v>0.124</v>
      </c>
      <c r="DZ17" s="9">
        <v>-0.14199999999999999</v>
      </c>
      <c r="EA17" s="9">
        <v>8.0000000000000002E-3</v>
      </c>
      <c r="EC17" s="9">
        <v>0.39</v>
      </c>
      <c r="ED17" s="9">
        <v>0.105</v>
      </c>
      <c r="EE17" s="9">
        <v>-0.13400000000000001</v>
      </c>
      <c r="EF17" s="9">
        <v>2.4E-2</v>
      </c>
      <c r="EH17" s="9">
        <v>0.38500000000000001</v>
      </c>
      <c r="EI17" s="9">
        <v>0.108</v>
      </c>
      <c r="EJ17" s="9">
        <v>-0.14399999999999999</v>
      </c>
      <c r="EK17" s="9">
        <v>1.4999999999999999E-2</v>
      </c>
      <c r="EM17" s="9">
        <v>0.36399999999999999</v>
      </c>
      <c r="EN17" s="9">
        <v>9.5000000000000001E-2</v>
      </c>
      <c r="EO17" s="9">
        <v>-0.122</v>
      </c>
      <c r="EP17" s="9">
        <v>-1.6E-2</v>
      </c>
      <c r="ER17" s="9">
        <v>0.32100000000000001</v>
      </c>
      <c r="ES17" s="9">
        <v>9.8000000000000004E-2</v>
      </c>
      <c r="ET17" s="9">
        <v>-0.11</v>
      </c>
      <c r="EU17" s="9">
        <v>-1.0999999999999999E-2</v>
      </c>
      <c r="EW17" s="9">
        <v>0.29699999999999999</v>
      </c>
      <c r="EX17" s="9">
        <v>8.2000000000000003E-2</v>
      </c>
      <c r="EY17" s="9">
        <v>-9.8000000000000004E-2</v>
      </c>
      <c r="EZ17" s="9">
        <v>-1.2E-2</v>
      </c>
      <c r="FB17" s="9">
        <v>0.26800000000000002</v>
      </c>
      <c r="FC17" s="9">
        <v>9.6000000000000002E-2</v>
      </c>
      <c r="FD17" s="9">
        <v>-0.09</v>
      </c>
      <c r="FE17" s="9">
        <v>-8.0000000000000002E-3</v>
      </c>
      <c r="FG17" s="9">
        <v>0.26600000000000001</v>
      </c>
      <c r="FH17" s="9">
        <v>9.5000000000000001E-2</v>
      </c>
      <c r="FI17" s="9">
        <v>-8.4000000000000005E-2</v>
      </c>
      <c r="FJ17" s="9">
        <v>-7.0000000000000001E-3</v>
      </c>
      <c r="FL17" s="9">
        <v>0.26900000000000002</v>
      </c>
      <c r="FM17" s="9">
        <v>9.5000000000000001E-2</v>
      </c>
      <c r="FN17" s="9">
        <v>-8.3000000000000004E-2</v>
      </c>
      <c r="FO17" s="9">
        <v>-1.0999999999999999E-2</v>
      </c>
      <c r="FQ17" s="9">
        <v>0.27</v>
      </c>
      <c r="FR17" s="9">
        <v>9.8000000000000004E-2</v>
      </c>
      <c r="FS17" s="9">
        <v>-8.3000000000000004E-2</v>
      </c>
      <c r="FT17" s="9">
        <v>-1.2999999999999999E-2</v>
      </c>
      <c r="FV17" s="9">
        <v>0.27200000000000002</v>
      </c>
      <c r="FW17" s="9">
        <v>0.106</v>
      </c>
      <c r="FX17" s="9">
        <v>-8.4000000000000005E-2</v>
      </c>
      <c r="FY17" s="9">
        <v>-1.0999999999999999E-2</v>
      </c>
      <c r="GA17" s="9">
        <v>0.28299999999999997</v>
      </c>
      <c r="GB17" s="9">
        <v>0.108</v>
      </c>
      <c r="GC17" s="9">
        <v>-8.5999999999999993E-2</v>
      </c>
      <c r="GD17" s="9">
        <v>-8.9999999999999993E-3</v>
      </c>
      <c r="GF17" s="9">
        <v>0.29599999999999999</v>
      </c>
      <c r="GG17" s="9">
        <v>0.154</v>
      </c>
      <c r="GH17" s="9">
        <v>-9.9000000000000005E-2</v>
      </c>
      <c r="GI17" s="9">
        <v>-6.0000000000000001E-3</v>
      </c>
      <c r="GK17" s="9">
        <v>0.34499999999999997</v>
      </c>
      <c r="GL17" s="9">
        <v>0.13600000000000001</v>
      </c>
      <c r="GM17" s="9">
        <v>-0.107</v>
      </c>
      <c r="GN17" s="9">
        <v>-2E-3</v>
      </c>
      <c r="GP17" s="9">
        <v>0.371</v>
      </c>
      <c r="GQ17" s="9">
        <v>0.214</v>
      </c>
      <c r="GR17" s="9">
        <v>-0.129</v>
      </c>
      <c r="GS17" s="9">
        <v>-4.4999999999999998E-2</v>
      </c>
      <c r="GU17" s="9">
        <v>0.41</v>
      </c>
      <c r="GV17" s="9">
        <v>0.13100000000000001</v>
      </c>
      <c r="GW17" s="9">
        <v>-0.114</v>
      </c>
      <c r="GX17" s="9">
        <v>-1.7000000000000001E-2</v>
      </c>
      <c r="GZ17" s="9">
        <v>0.40899999999999997</v>
      </c>
      <c r="HA17" s="9">
        <v>0.14000000000000001</v>
      </c>
      <c r="HB17" s="9">
        <v>-0.124</v>
      </c>
      <c r="HC17" s="9">
        <v>8.0000000000000002E-3</v>
      </c>
      <c r="HE17" s="9">
        <v>0.433</v>
      </c>
      <c r="HF17" s="9">
        <v>0.14299999999999999</v>
      </c>
      <c r="HG17" s="9">
        <v>-0.128</v>
      </c>
      <c r="HH17" s="9">
        <v>3.0000000000000001E-3</v>
      </c>
      <c r="HJ17" s="9">
        <v>0.45</v>
      </c>
      <c r="HK17" s="9">
        <v>0.104</v>
      </c>
      <c r="HL17" s="9">
        <v>-0.128</v>
      </c>
      <c r="HM17" s="9">
        <v>2E-3</v>
      </c>
      <c r="HO17" s="9">
        <v>0.43</v>
      </c>
      <c r="HP17" s="9">
        <v>9.5000000000000001E-2</v>
      </c>
      <c r="HQ17" s="9">
        <v>-0.121</v>
      </c>
      <c r="HR17" s="9">
        <v>-2E-3</v>
      </c>
      <c r="HT17" s="9">
        <v>0.40400000000000003</v>
      </c>
      <c r="HU17" s="9">
        <v>0.10199999999999999</v>
      </c>
      <c r="HV17" s="9">
        <v>-0.11700000000000001</v>
      </c>
      <c r="HW17" s="9">
        <v>2E-3</v>
      </c>
      <c r="HY17" s="9">
        <v>0.39100000000000001</v>
      </c>
    </row>
    <row r="18" spans="1:233" x14ac:dyDescent="0.35">
      <c r="A18" s="12" t="s">
        <v>280</v>
      </c>
      <c r="B18" s="12" t="s">
        <v>281</v>
      </c>
      <c r="C18" s="9">
        <v>11.179</v>
      </c>
      <c r="D18" s="9">
        <v>2.0329999999999999</v>
      </c>
      <c r="E18" s="9">
        <v>-1.66</v>
      </c>
      <c r="F18" s="9">
        <v>1.4179999999999999</v>
      </c>
      <c r="H18" s="9">
        <v>12.968999999999999</v>
      </c>
      <c r="I18" s="9">
        <v>2.419</v>
      </c>
      <c r="J18" s="9">
        <v>-1.978</v>
      </c>
      <c r="K18" s="9">
        <v>2.0259999999999998</v>
      </c>
      <c r="M18" s="9">
        <v>15.436</v>
      </c>
      <c r="N18" s="9">
        <v>2.6949999999999998</v>
      </c>
      <c r="O18" s="9">
        <v>-2.3359999999999999</v>
      </c>
      <c r="P18" s="9">
        <v>2.351</v>
      </c>
      <c r="R18" s="9">
        <v>18.146000000000001</v>
      </c>
      <c r="S18" s="9">
        <v>2.9359999999999999</v>
      </c>
      <c r="T18" s="9">
        <v>-2.7269999999999999</v>
      </c>
      <c r="U18" s="9">
        <v>1.9850000000000001</v>
      </c>
      <c r="W18" s="9">
        <v>20.341000000000001</v>
      </c>
      <c r="X18" s="9">
        <v>2.95</v>
      </c>
      <c r="Y18" s="9">
        <v>-2.9420000000000002</v>
      </c>
      <c r="Z18" s="9">
        <v>1.258</v>
      </c>
      <c r="AB18" s="9">
        <v>21.606000000000002</v>
      </c>
      <c r="AC18" s="9">
        <v>3.298</v>
      </c>
      <c r="AD18" s="9">
        <v>-3.1349999999999998</v>
      </c>
      <c r="AE18" s="9">
        <v>0.84899999999999998</v>
      </c>
      <c r="AG18" s="9">
        <v>22.617999999999999</v>
      </c>
      <c r="AH18" s="9">
        <v>3.4079999999999999</v>
      </c>
      <c r="AI18" s="9">
        <v>-3.242</v>
      </c>
      <c r="AJ18" s="9">
        <v>0.55800000000000005</v>
      </c>
      <c r="AL18" s="9">
        <v>23.343</v>
      </c>
      <c r="AM18" s="9">
        <v>3.6320000000000001</v>
      </c>
      <c r="AN18" s="9">
        <v>-3.3620000000000001</v>
      </c>
      <c r="AO18" s="9">
        <v>0.48399999999999999</v>
      </c>
      <c r="AQ18" s="9">
        <v>24.096</v>
      </c>
      <c r="AR18" s="9">
        <v>3.9470000000000001</v>
      </c>
      <c r="AS18" s="9">
        <v>-3.4750000000000001</v>
      </c>
      <c r="AT18" s="9">
        <v>0.39</v>
      </c>
      <c r="AV18" s="9">
        <v>24.959</v>
      </c>
      <c r="AW18" s="9">
        <v>4.26</v>
      </c>
      <c r="AX18" s="9">
        <v>-3.6080000000000001</v>
      </c>
      <c r="AY18" s="9">
        <v>0.49099999999999999</v>
      </c>
      <c r="BA18" s="9">
        <v>26.102</v>
      </c>
      <c r="BB18" s="9">
        <v>4.79</v>
      </c>
      <c r="BC18" s="9">
        <v>-3.8039999999999998</v>
      </c>
      <c r="BD18" s="9">
        <v>0.58399999999999996</v>
      </c>
      <c r="BF18" s="9">
        <v>27.672000000000001</v>
      </c>
      <c r="BG18" s="9">
        <v>4.55</v>
      </c>
      <c r="BH18" s="9">
        <v>-3.9689999999999999</v>
      </c>
      <c r="BI18" s="9">
        <v>0.80300000000000005</v>
      </c>
      <c r="BK18" s="9">
        <v>29.056000000000001</v>
      </c>
      <c r="BL18" s="9">
        <v>4.0030000000000001</v>
      </c>
      <c r="BM18" s="9">
        <v>-4.1280000000000001</v>
      </c>
      <c r="BN18" s="9">
        <v>0.57899999999999996</v>
      </c>
      <c r="BP18" s="9">
        <v>29.51</v>
      </c>
      <c r="BQ18" s="9">
        <v>3.4780000000000002</v>
      </c>
      <c r="BR18" s="9">
        <v>-4.1050000000000004</v>
      </c>
      <c r="BS18" s="9">
        <v>-0.215</v>
      </c>
      <c r="BU18" s="9">
        <v>28.667999999999999</v>
      </c>
      <c r="BV18" s="9">
        <v>3.2229999999999999</v>
      </c>
      <c r="BW18" s="9">
        <v>-3.9670000000000001</v>
      </c>
      <c r="BX18" s="9">
        <v>-0.25600000000000001</v>
      </c>
      <c r="BZ18" s="9">
        <v>27.667999999999999</v>
      </c>
      <c r="CA18" s="9">
        <v>3.6859999999999999</v>
      </c>
      <c r="CB18" s="9">
        <v>-3.9449999999999998</v>
      </c>
      <c r="CC18" s="9">
        <v>-0.155</v>
      </c>
      <c r="CE18" s="9">
        <v>27.253</v>
      </c>
      <c r="CF18" s="9">
        <v>3.8530000000000002</v>
      </c>
      <c r="CG18" s="9">
        <v>-3.8919999999999999</v>
      </c>
      <c r="CH18" s="9">
        <v>-2.1000000000000001E-2</v>
      </c>
      <c r="CJ18" s="9">
        <v>27.193000000000001</v>
      </c>
      <c r="CK18" s="9">
        <v>3.73</v>
      </c>
      <c r="CL18" s="9">
        <v>-3.9060000000000001</v>
      </c>
      <c r="CM18" s="9">
        <v>0.185</v>
      </c>
      <c r="CO18" s="9">
        <v>27.202999999999999</v>
      </c>
      <c r="CP18" s="9">
        <v>3.7749999999999999</v>
      </c>
      <c r="CQ18" s="9">
        <v>-3.8940000000000001</v>
      </c>
      <c r="CR18" s="9">
        <v>-6.7000000000000004E-2</v>
      </c>
      <c r="CT18" s="9">
        <v>27.016999999999999</v>
      </c>
      <c r="CU18" s="9">
        <v>3.746</v>
      </c>
      <c r="CV18" s="9">
        <v>-3.8450000000000002</v>
      </c>
      <c r="CW18" s="9">
        <v>-2.7E-2</v>
      </c>
      <c r="CY18" s="9">
        <v>26.890999999999998</v>
      </c>
      <c r="CZ18" s="9">
        <v>3.488</v>
      </c>
      <c r="DA18" s="9">
        <v>-3.819</v>
      </c>
      <c r="DB18" s="9">
        <v>0.748</v>
      </c>
      <c r="DD18" s="9">
        <v>27.309000000000001</v>
      </c>
      <c r="DE18" s="9">
        <v>3.3610000000000002</v>
      </c>
      <c r="DF18" s="9">
        <v>-3.9420000000000002</v>
      </c>
      <c r="DG18" s="9">
        <v>1.0669999999999999</v>
      </c>
      <c r="DI18" s="9">
        <v>27.795000000000002</v>
      </c>
      <c r="DJ18" s="9">
        <v>3.1150000000000002</v>
      </c>
      <c r="DK18" s="9">
        <v>-3.9489999999999998</v>
      </c>
      <c r="DL18" s="9">
        <v>0.45900000000000002</v>
      </c>
      <c r="DN18" s="9">
        <v>27.42</v>
      </c>
      <c r="DO18" s="9">
        <v>3.181</v>
      </c>
      <c r="DP18" s="9">
        <v>-3.887</v>
      </c>
      <c r="DQ18" s="9">
        <v>0.16300000000000001</v>
      </c>
      <c r="DS18" s="9">
        <v>26.878</v>
      </c>
      <c r="DT18" s="9">
        <v>3.1850000000000001</v>
      </c>
      <c r="DU18" s="9">
        <v>-3.8250000000000002</v>
      </c>
      <c r="DV18" s="9">
        <v>0.27900000000000003</v>
      </c>
      <c r="DX18" s="9">
        <v>26.516999999999999</v>
      </c>
      <c r="DY18" s="9">
        <v>3</v>
      </c>
      <c r="DZ18" s="9">
        <v>-3.782</v>
      </c>
      <c r="EA18" s="9">
        <v>0.67300000000000004</v>
      </c>
      <c r="EC18" s="9">
        <v>26.408000000000001</v>
      </c>
      <c r="ED18" s="9">
        <v>3.085</v>
      </c>
      <c r="EE18" s="9">
        <v>-3.82</v>
      </c>
      <c r="EF18" s="9">
        <v>0.56499999999999995</v>
      </c>
      <c r="EH18" s="9">
        <v>26.239000000000001</v>
      </c>
      <c r="EI18" s="9">
        <v>2.9180000000000001</v>
      </c>
      <c r="EJ18" s="9">
        <v>-3.74</v>
      </c>
      <c r="EK18" s="9">
        <v>0.39800000000000002</v>
      </c>
      <c r="EM18" s="9">
        <v>25.814</v>
      </c>
      <c r="EN18" s="9">
        <v>3.0960000000000001</v>
      </c>
      <c r="EO18" s="9">
        <v>-3.7370000000000001</v>
      </c>
      <c r="EP18" s="9">
        <v>0.42</v>
      </c>
      <c r="ER18" s="9">
        <v>25.593</v>
      </c>
      <c r="ES18" s="9">
        <v>3.391</v>
      </c>
      <c r="ET18" s="9">
        <v>-3.706</v>
      </c>
      <c r="EU18" s="9">
        <v>0.48399999999999999</v>
      </c>
      <c r="EW18" s="9">
        <v>25.762</v>
      </c>
      <c r="EX18" s="9">
        <v>3.016</v>
      </c>
      <c r="EY18" s="9">
        <v>-3.7170000000000001</v>
      </c>
      <c r="EZ18" s="9">
        <v>0.40100000000000002</v>
      </c>
      <c r="FB18" s="9">
        <v>25.462</v>
      </c>
      <c r="FC18" s="9">
        <v>2.7050000000000001</v>
      </c>
      <c r="FD18" s="9">
        <v>-3.6150000000000002</v>
      </c>
      <c r="FE18" s="9">
        <v>0.23400000000000001</v>
      </c>
      <c r="FG18" s="9">
        <v>24.786999999999999</v>
      </c>
      <c r="FH18" s="9">
        <v>3.056</v>
      </c>
      <c r="FI18" s="9">
        <v>-3.5979999999999999</v>
      </c>
      <c r="FJ18" s="9">
        <v>0.53600000000000003</v>
      </c>
      <c r="FL18" s="9">
        <v>24.780999999999999</v>
      </c>
      <c r="FM18" s="9">
        <v>3.4289999999999998</v>
      </c>
      <c r="FN18" s="9">
        <v>-3.6459999999999999</v>
      </c>
      <c r="FO18" s="9">
        <v>0.51400000000000001</v>
      </c>
      <c r="FQ18" s="9">
        <v>25.077000000000002</v>
      </c>
      <c r="FR18" s="9">
        <v>3.2469999999999999</v>
      </c>
      <c r="FS18" s="9">
        <v>-3.6389999999999998</v>
      </c>
      <c r="FT18" s="9">
        <v>0.29399999999999998</v>
      </c>
      <c r="FV18" s="9">
        <v>24.978999999999999</v>
      </c>
      <c r="FW18" s="9">
        <v>2.964</v>
      </c>
      <c r="FX18" s="9">
        <v>-3.589</v>
      </c>
      <c r="FY18" s="9">
        <v>-6.0000000000000001E-3</v>
      </c>
      <c r="GA18" s="9">
        <v>24.349</v>
      </c>
      <c r="GB18" s="9">
        <v>2.9860000000000002</v>
      </c>
      <c r="GC18" s="9">
        <v>-3.4950000000000001</v>
      </c>
      <c r="GD18" s="9">
        <v>-0.22900000000000001</v>
      </c>
      <c r="GF18" s="9">
        <v>23.611000000000001</v>
      </c>
      <c r="GG18" s="9">
        <v>2.87</v>
      </c>
      <c r="GH18" s="9">
        <v>-3.3940000000000001</v>
      </c>
      <c r="GI18" s="9">
        <v>-2.5000000000000001E-2</v>
      </c>
      <c r="GK18" s="9">
        <v>23.062000000000001</v>
      </c>
      <c r="GL18" s="9">
        <v>2.9990000000000001</v>
      </c>
      <c r="GM18" s="9">
        <v>-3.3730000000000002</v>
      </c>
      <c r="GN18" s="9">
        <v>0.38</v>
      </c>
      <c r="GP18" s="9">
        <v>23.068000000000001</v>
      </c>
      <c r="GQ18" s="9">
        <v>3.1269999999999998</v>
      </c>
      <c r="GR18" s="9">
        <v>-3.415</v>
      </c>
      <c r="GS18" s="9">
        <v>0.52</v>
      </c>
      <c r="GU18" s="9">
        <v>23.3</v>
      </c>
      <c r="GV18" s="9">
        <v>3.3540000000000001</v>
      </c>
      <c r="GW18" s="9">
        <v>-3.4620000000000002</v>
      </c>
      <c r="GX18" s="9">
        <v>0.47199999999999998</v>
      </c>
      <c r="GZ18" s="9">
        <v>23.663</v>
      </c>
      <c r="HA18" s="9">
        <v>3.4910000000000001</v>
      </c>
      <c r="HB18" s="9">
        <v>-3.5259999999999998</v>
      </c>
      <c r="HC18" s="9">
        <v>0.58299999999999996</v>
      </c>
      <c r="HE18" s="9">
        <v>24.210999999999999</v>
      </c>
      <c r="HF18" s="9">
        <v>3.4820000000000002</v>
      </c>
      <c r="HG18" s="9">
        <v>-3.613</v>
      </c>
      <c r="HH18" s="9">
        <v>0.86499999999999999</v>
      </c>
      <c r="HJ18" s="9">
        <v>24.945</v>
      </c>
      <c r="HK18" s="9">
        <v>3.165</v>
      </c>
      <c r="HL18" s="9">
        <v>-3.669</v>
      </c>
      <c r="HM18" s="9">
        <v>1.512</v>
      </c>
      <c r="HO18" s="9">
        <v>25.952999999999999</v>
      </c>
      <c r="HP18" s="9">
        <v>3.2930000000000001</v>
      </c>
      <c r="HQ18" s="9">
        <v>-3.9180000000000001</v>
      </c>
      <c r="HR18" s="9">
        <v>1.3440000000000001</v>
      </c>
      <c r="HT18" s="9">
        <v>26.670999999999999</v>
      </c>
      <c r="HU18" s="9">
        <v>2.73</v>
      </c>
      <c r="HV18" s="9">
        <v>-3.8460000000000001</v>
      </c>
      <c r="HW18" s="9">
        <v>0.32200000000000001</v>
      </c>
      <c r="HY18" s="9">
        <v>25.876999999999999</v>
      </c>
    </row>
    <row r="19" spans="1:233" x14ac:dyDescent="0.35">
      <c r="A19" s="12" t="s">
        <v>282</v>
      </c>
      <c r="B19" s="12" t="s">
        <v>283</v>
      </c>
    </row>
    <row r="20" spans="1:233" x14ac:dyDescent="0.35">
      <c r="A20" s="12" t="s">
        <v>284</v>
      </c>
      <c r="B20" s="12" t="s">
        <v>285</v>
      </c>
      <c r="C20" s="9">
        <v>9.5419999999999998</v>
      </c>
      <c r="D20" s="9">
        <v>0.39100000000000001</v>
      </c>
      <c r="E20" s="9">
        <v>-0.17199999999999999</v>
      </c>
      <c r="F20" s="9">
        <v>0.378</v>
      </c>
      <c r="H20" s="9">
        <v>10.138999999999999</v>
      </c>
      <c r="I20" s="9">
        <v>0.40400000000000003</v>
      </c>
      <c r="J20" s="9">
        <v>-0.21199999999999999</v>
      </c>
      <c r="K20" s="9">
        <v>0.72699999999999998</v>
      </c>
      <c r="M20" s="9">
        <v>11.057</v>
      </c>
      <c r="N20" s="9">
        <v>0.52300000000000002</v>
      </c>
      <c r="O20" s="9">
        <v>-0.223</v>
      </c>
      <c r="P20" s="9">
        <v>0.749</v>
      </c>
      <c r="R20" s="9">
        <v>12.106</v>
      </c>
      <c r="S20" s="9">
        <v>0.59499999999999997</v>
      </c>
      <c r="T20" s="9">
        <v>-0.25800000000000001</v>
      </c>
      <c r="U20" s="9">
        <v>1.8460000000000001</v>
      </c>
      <c r="W20" s="9">
        <v>14.289</v>
      </c>
      <c r="X20" s="9">
        <v>0.60499999999999998</v>
      </c>
      <c r="Y20" s="9">
        <v>-0.28399999999999997</v>
      </c>
      <c r="Z20" s="9">
        <v>0.376</v>
      </c>
      <c r="AB20" s="9">
        <v>14.986000000000001</v>
      </c>
      <c r="AC20" s="9">
        <v>0.46100000000000002</v>
      </c>
      <c r="AD20" s="9">
        <v>-0.317</v>
      </c>
      <c r="AE20" s="9">
        <v>0.246</v>
      </c>
      <c r="AG20" s="9">
        <v>15.377000000000001</v>
      </c>
      <c r="AH20" s="9">
        <v>0.56999999999999995</v>
      </c>
      <c r="AI20" s="9">
        <v>-0.34</v>
      </c>
      <c r="AJ20" s="9">
        <v>0.154</v>
      </c>
      <c r="AL20" s="9">
        <v>15.76</v>
      </c>
      <c r="AM20" s="9">
        <v>0.47</v>
      </c>
      <c r="AN20" s="9">
        <v>-0.376</v>
      </c>
      <c r="AO20" s="9">
        <v>-0.59099999999999997</v>
      </c>
      <c r="AQ20" s="9">
        <v>15.262</v>
      </c>
      <c r="AR20" s="9">
        <v>0.47499999999999998</v>
      </c>
      <c r="AS20" s="9">
        <v>-0.379</v>
      </c>
      <c r="AT20" s="9">
        <v>-0.35699999999999998</v>
      </c>
      <c r="AV20" s="9">
        <v>15.000999999999999</v>
      </c>
      <c r="AW20" s="9">
        <v>0.56799999999999995</v>
      </c>
      <c r="AX20" s="9">
        <v>-0.38500000000000001</v>
      </c>
      <c r="AY20" s="9">
        <v>1.294</v>
      </c>
      <c r="BA20" s="9">
        <v>16.478000000000002</v>
      </c>
      <c r="BB20" s="9">
        <v>0.59299999999999997</v>
      </c>
      <c r="BC20" s="9">
        <v>-0.38600000000000001</v>
      </c>
      <c r="BD20" s="9">
        <v>0.71599999999999997</v>
      </c>
      <c r="BF20" s="9">
        <v>17.401</v>
      </c>
      <c r="BG20" s="9">
        <v>0.82799999999999996</v>
      </c>
      <c r="BH20" s="9">
        <v>-0.34499999999999997</v>
      </c>
      <c r="BI20" s="9">
        <v>-0.874</v>
      </c>
      <c r="BK20" s="9">
        <v>17.010999999999999</v>
      </c>
      <c r="BL20" s="9">
        <v>0.57699999999999996</v>
      </c>
      <c r="BM20" s="9">
        <v>-0.37</v>
      </c>
      <c r="BN20" s="9">
        <v>-1.1499999999999999</v>
      </c>
      <c r="BP20" s="9">
        <v>16.068000000000001</v>
      </c>
      <c r="BQ20" s="9">
        <v>0.6</v>
      </c>
      <c r="BR20" s="9">
        <v>-0.33300000000000002</v>
      </c>
      <c r="BS20" s="9">
        <v>-0.90700000000000003</v>
      </c>
      <c r="BU20" s="9">
        <v>15.428000000000001</v>
      </c>
      <c r="BV20" s="9">
        <v>0.505</v>
      </c>
      <c r="BW20" s="9">
        <v>-0.32600000000000001</v>
      </c>
      <c r="BX20" s="9">
        <v>-0.83899999999999997</v>
      </c>
      <c r="BZ20" s="9">
        <v>14.768000000000001</v>
      </c>
      <c r="CA20" s="9">
        <v>0.50800000000000001</v>
      </c>
      <c r="CB20" s="9">
        <v>-0.30299999999999999</v>
      </c>
      <c r="CC20" s="9">
        <v>-0.51300000000000001</v>
      </c>
      <c r="CE20" s="9">
        <v>14.461</v>
      </c>
      <c r="CF20" s="9">
        <v>0.53800000000000003</v>
      </c>
      <c r="CG20" s="9">
        <v>-0.28899999999999998</v>
      </c>
      <c r="CH20" s="9">
        <v>-1.7050000000000001</v>
      </c>
      <c r="CJ20" s="9">
        <v>13.004</v>
      </c>
      <c r="CK20" s="9">
        <v>0.45700000000000002</v>
      </c>
      <c r="CL20" s="9">
        <v>-0.29099999999999998</v>
      </c>
      <c r="CM20" s="9">
        <v>-1.423</v>
      </c>
      <c r="CO20" s="9">
        <v>11.747</v>
      </c>
      <c r="CP20" s="9">
        <v>0.39600000000000002</v>
      </c>
      <c r="CQ20" s="9">
        <v>-0.29199999999999998</v>
      </c>
      <c r="CR20" s="9">
        <v>-0.214</v>
      </c>
      <c r="CT20" s="9">
        <v>11.637</v>
      </c>
      <c r="CU20" s="9">
        <v>0.41899999999999998</v>
      </c>
      <c r="CV20" s="9">
        <v>-0.29099999999999998</v>
      </c>
      <c r="CW20" s="9">
        <v>-0.33200000000000002</v>
      </c>
      <c r="CY20" s="9">
        <v>11.433999999999999</v>
      </c>
      <c r="CZ20" s="9">
        <v>0.45600000000000002</v>
      </c>
      <c r="DA20" s="9">
        <v>-0.27</v>
      </c>
      <c r="DB20" s="9">
        <v>-1.0680000000000001</v>
      </c>
      <c r="DD20" s="9">
        <v>10.552</v>
      </c>
      <c r="DE20" s="9">
        <v>0.48299999999999998</v>
      </c>
      <c r="DF20" s="9">
        <v>-0.26</v>
      </c>
      <c r="DG20" s="9">
        <v>-0.55800000000000005</v>
      </c>
      <c r="DI20" s="9">
        <v>10.217000000000001</v>
      </c>
      <c r="DJ20" s="9">
        <v>0.41299999999999998</v>
      </c>
      <c r="DK20" s="9">
        <v>-0.25600000000000001</v>
      </c>
      <c r="DL20" s="9">
        <v>-0.48399999999999999</v>
      </c>
      <c r="DN20" s="9">
        <v>9.891</v>
      </c>
      <c r="DO20" s="9">
        <v>0.28299999999999997</v>
      </c>
      <c r="DP20" s="9">
        <v>-0.27</v>
      </c>
      <c r="DQ20" s="9">
        <v>-0.157</v>
      </c>
      <c r="DS20" s="9">
        <v>9.7460000000000004</v>
      </c>
      <c r="DT20" s="9">
        <v>0.23300000000000001</v>
      </c>
      <c r="DU20" s="9">
        <v>-0.28399999999999997</v>
      </c>
      <c r="DV20" s="9">
        <v>-0.13700000000000001</v>
      </c>
      <c r="DX20" s="9">
        <v>9.5589999999999993</v>
      </c>
      <c r="DY20" s="9">
        <v>0.27400000000000002</v>
      </c>
      <c r="DZ20" s="9">
        <v>-0.25700000000000001</v>
      </c>
      <c r="EA20" s="9">
        <v>-0.56799999999999995</v>
      </c>
      <c r="EC20" s="9">
        <v>9.0079999999999991</v>
      </c>
      <c r="ED20" s="9">
        <v>0.32300000000000001</v>
      </c>
      <c r="EE20" s="9">
        <v>-0.246</v>
      </c>
      <c r="EF20" s="9">
        <v>-0.505</v>
      </c>
      <c r="EH20" s="9">
        <v>8.58</v>
      </c>
      <c r="EI20" s="9">
        <v>0.30399999999999999</v>
      </c>
      <c r="EJ20" s="9">
        <v>-0.24399999999999999</v>
      </c>
      <c r="EK20" s="9">
        <v>-0.33900000000000002</v>
      </c>
      <c r="EM20" s="9">
        <v>8.3010000000000002</v>
      </c>
      <c r="EN20" s="9">
        <v>0.33100000000000002</v>
      </c>
      <c r="EO20" s="9">
        <v>-0.246</v>
      </c>
      <c r="EP20" s="9">
        <v>-0.17899999999999999</v>
      </c>
      <c r="ER20" s="9">
        <v>8.2070000000000007</v>
      </c>
      <c r="ES20" s="9">
        <v>0.252</v>
      </c>
      <c r="ET20" s="9">
        <v>-0.20100000000000001</v>
      </c>
      <c r="EU20" s="9">
        <v>-0.82299999999999995</v>
      </c>
      <c r="EW20" s="9">
        <v>7.4340000000000002</v>
      </c>
      <c r="EX20" s="9">
        <v>0.24199999999999999</v>
      </c>
      <c r="EY20" s="9">
        <v>-0.219</v>
      </c>
      <c r="EZ20" s="9">
        <v>-2.5000000000000001E-2</v>
      </c>
      <c r="FB20" s="9">
        <v>7.4320000000000004</v>
      </c>
      <c r="FC20" s="9">
        <v>0.23599999999999999</v>
      </c>
      <c r="FD20" s="9">
        <v>-0.21299999999999999</v>
      </c>
      <c r="FE20" s="9">
        <v>-0.29699999999999999</v>
      </c>
      <c r="FG20" s="9">
        <v>7.1580000000000004</v>
      </c>
      <c r="FH20" s="9">
        <v>0.22</v>
      </c>
      <c r="FI20" s="9">
        <v>-0.218</v>
      </c>
      <c r="FJ20" s="9">
        <v>-0.20599999999999999</v>
      </c>
      <c r="FL20" s="9">
        <v>6.9539999999999997</v>
      </c>
      <c r="FM20" s="9">
        <v>0.26600000000000001</v>
      </c>
      <c r="FN20" s="9">
        <v>-0.20599999999999999</v>
      </c>
      <c r="FO20" s="9">
        <v>-0.311</v>
      </c>
      <c r="FQ20" s="9">
        <v>6.7039999999999997</v>
      </c>
      <c r="FR20" s="9">
        <v>0.30299999999999999</v>
      </c>
      <c r="FS20" s="9">
        <v>-0.19700000000000001</v>
      </c>
      <c r="FT20" s="9">
        <v>-0.219</v>
      </c>
      <c r="FV20" s="9">
        <v>6.5910000000000002</v>
      </c>
      <c r="FW20" s="9">
        <v>0.315</v>
      </c>
      <c r="FX20" s="9">
        <v>-0.187</v>
      </c>
      <c r="FY20" s="9">
        <v>-0.36299999999999999</v>
      </c>
      <c r="GA20" s="9">
        <v>6.3570000000000002</v>
      </c>
      <c r="GB20" s="9">
        <v>0.316</v>
      </c>
      <c r="GC20" s="9">
        <v>-0.17699999999999999</v>
      </c>
      <c r="GD20" s="9">
        <v>-0.38900000000000001</v>
      </c>
      <c r="GF20" s="9">
        <v>6.1079999999999997</v>
      </c>
      <c r="GG20" s="9">
        <v>0.27300000000000002</v>
      </c>
      <c r="GH20" s="9">
        <v>-0.16400000000000001</v>
      </c>
      <c r="GI20" s="9">
        <v>-0.29699999999999999</v>
      </c>
      <c r="GK20" s="9">
        <v>5.9189999999999996</v>
      </c>
      <c r="GL20" s="9">
        <v>0.24299999999999999</v>
      </c>
      <c r="GM20" s="9">
        <v>-0.156</v>
      </c>
      <c r="GN20" s="9">
        <v>-0.35299999999999998</v>
      </c>
      <c r="GP20" s="9">
        <v>5.6529999999999996</v>
      </c>
      <c r="GQ20" s="9">
        <v>0.20499999999999999</v>
      </c>
      <c r="GR20" s="9">
        <v>-0.154</v>
      </c>
      <c r="GS20" s="9">
        <v>-0.255</v>
      </c>
      <c r="GU20" s="9">
        <v>5.4489999999999998</v>
      </c>
      <c r="GV20" s="9">
        <v>0.216</v>
      </c>
      <c r="GW20" s="9">
        <v>-0.16500000000000001</v>
      </c>
      <c r="GX20" s="9">
        <v>0.17899999999999999</v>
      </c>
      <c r="GZ20" s="9">
        <v>5.6790000000000003</v>
      </c>
      <c r="HA20" s="9">
        <v>0.22900000000000001</v>
      </c>
      <c r="HB20" s="9">
        <v>-0.153</v>
      </c>
      <c r="HC20" s="9">
        <v>-0.33</v>
      </c>
      <c r="HE20" s="9">
        <v>5.4249999999999998</v>
      </c>
      <c r="HF20" s="9">
        <v>0.25</v>
      </c>
      <c r="HG20" s="9">
        <v>-0.155</v>
      </c>
      <c r="HH20" s="9">
        <v>-0.29099999999999998</v>
      </c>
      <c r="HJ20" s="9">
        <v>5.2290000000000001</v>
      </c>
      <c r="HK20" s="9">
        <v>0.26700000000000002</v>
      </c>
      <c r="HL20" s="9">
        <v>-0.16700000000000001</v>
      </c>
      <c r="HM20" s="9">
        <v>0.28599999999999998</v>
      </c>
      <c r="HO20" s="9">
        <v>5.6139999999999999</v>
      </c>
      <c r="HP20" s="9">
        <v>0.28499999999999998</v>
      </c>
      <c r="HQ20" s="9">
        <v>-0.17699999999999999</v>
      </c>
      <c r="HR20" s="9">
        <v>-0.73199999999999998</v>
      </c>
      <c r="HT20" s="9">
        <v>4.99</v>
      </c>
      <c r="HU20" s="9">
        <v>0.28599999999999998</v>
      </c>
      <c r="HV20" s="9">
        <v>-0.161</v>
      </c>
      <c r="HW20" s="9">
        <v>0.1</v>
      </c>
      <c r="HY20" s="9">
        <v>5.2149999999999999</v>
      </c>
    </row>
    <row r="21" spans="1:233" x14ac:dyDescent="0.35">
      <c r="A21" s="12" t="s">
        <v>286</v>
      </c>
      <c r="B21" s="12" t="s">
        <v>287</v>
      </c>
      <c r="C21" s="9">
        <v>1.1930000000000001</v>
      </c>
      <c r="D21" s="9">
        <v>0.32400000000000001</v>
      </c>
      <c r="E21" s="9">
        <v>-0.317</v>
      </c>
      <c r="F21" s="9">
        <v>0.13100000000000001</v>
      </c>
      <c r="H21" s="9">
        <v>1.33</v>
      </c>
      <c r="I21" s="9">
        <v>0.36899999999999999</v>
      </c>
      <c r="J21" s="9">
        <v>-0.35799999999999998</v>
      </c>
      <c r="K21" s="9">
        <v>0.16400000000000001</v>
      </c>
      <c r="M21" s="9">
        <v>1.504</v>
      </c>
      <c r="N21" s="9">
        <v>0.39400000000000002</v>
      </c>
      <c r="O21" s="9">
        <v>-0.40500000000000003</v>
      </c>
      <c r="P21" s="9">
        <v>0.19600000000000001</v>
      </c>
      <c r="R21" s="9">
        <v>1.69</v>
      </c>
      <c r="S21" s="9">
        <v>0.42899999999999999</v>
      </c>
      <c r="T21" s="9">
        <v>-0.45200000000000001</v>
      </c>
      <c r="U21" s="9">
        <v>0.16500000000000001</v>
      </c>
      <c r="W21" s="9">
        <v>1.8320000000000001</v>
      </c>
      <c r="X21" s="9">
        <v>0.44700000000000001</v>
      </c>
      <c r="Y21" s="9">
        <v>-0.48</v>
      </c>
      <c r="Z21" s="9">
        <v>0.125</v>
      </c>
      <c r="AB21" s="9">
        <v>1.9239999999999999</v>
      </c>
      <c r="AC21" s="9">
        <v>0.497</v>
      </c>
      <c r="AD21" s="9">
        <v>-0.50900000000000001</v>
      </c>
      <c r="AE21" s="9">
        <v>0.104</v>
      </c>
      <c r="AG21" s="9">
        <v>2.0150000000000001</v>
      </c>
      <c r="AH21" s="9">
        <v>0.53800000000000003</v>
      </c>
      <c r="AI21" s="9">
        <v>-0.53500000000000003</v>
      </c>
      <c r="AJ21" s="9">
        <v>7.6999999999999999E-2</v>
      </c>
      <c r="AL21" s="9">
        <v>2.0950000000000002</v>
      </c>
      <c r="AM21" s="9">
        <v>0.627</v>
      </c>
      <c r="AN21" s="9">
        <v>-0.57199999999999995</v>
      </c>
      <c r="AO21" s="9">
        <v>6.8000000000000005E-2</v>
      </c>
      <c r="AQ21" s="9">
        <v>2.218</v>
      </c>
      <c r="AR21" s="9">
        <v>0.66200000000000003</v>
      </c>
      <c r="AS21" s="9">
        <v>-0.60799999999999998</v>
      </c>
      <c r="AT21" s="9">
        <v>5.8999999999999997E-2</v>
      </c>
      <c r="AV21" s="9">
        <v>2.3319999999999999</v>
      </c>
      <c r="AW21" s="9">
        <v>0.7</v>
      </c>
      <c r="AX21" s="9">
        <v>-0.64700000000000002</v>
      </c>
      <c r="AY21" s="9">
        <v>6.4000000000000001E-2</v>
      </c>
      <c r="BA21" s="9">
        <v>2.4489999999999998</v>
      </c>
      <c r="BB21" s="9">
        <v>0.82899999999999996</v>
      </c>
      <c r="BC21" s="9">
        <v>-0.70199999999999996</v>
      </c>
      <c r="BD21" s="9">
        <v>3.1E-2</v>
      </c>
      <c r="BF21" s="9">
        <v>2.6070000000000002</v>
      </c>
      <c r="BG21" s="9">
        <v>0.81799999999999995</v>
      </c>
      <c r="BH21" s="9">
        <v>-0.73199999999999998</v>
      </c>
      <c r="BI21" s="9">
        <v>5.2999999999999999E-2</v>
      </c>
      <c r="BK21" s="9">
        <v>2.746</v>
      </c>
      <c r="BL21" s="9">
        <v>0.749</v>
      </c>
      <c r="BM21" s="9">
        <v>-0.77200000000000002</v>
      </c>
      <c r="BN21" s="9">
        <v>6.2E-2</v>
      </c>
      <c r="BP21" s="9">
        <v>2.7839999999999998</v>
      </c>
      <c r="BQ21" s="9">
        <v>0.78200000000000003</v>
      </c>
      <c r="BR21" s="9">
        <v>-0.78800000000000003</v>
      </c>
      <c r="BS21" s="9">
        <v>-1E-3</v>
      </c>
      <c r="BU21" s="9">
        <v>2.7770000000000001</v>
      </c>
      <c r="BV21" s="9">
        <v>0.72</v>
      </c>
      <c r="BW21" s="9">
        <v>-0.78100000000000003</v>
      </c>
      <c r="BX21" s="9">
        <v>4.0000000000000001E-3</v>
      </c>
      <c r="BZ21" s="9">
        <v>2.7189999999999999</v>
      </c>
      <c r="CA21" s="9">
        <v>0.83099999999999996</v>
      </c>
      <c r="CB21" s="9">
        <v>-0.8</v>
      </c>
      <c r="CC21" s="9">
        <v>7.0000000000000001E-3</v>
      </c>
      <c r="CE21" s="9">
        <v>2.7570000000000001</v>
      </c>
      <c r="CF21" s="9">
        <v>0.84299999999999997</v>
      </c>
      <c r="CG21" s="9">
        <v>-0.81299999999999994</v>
      </c>
      <c r="CH21" s="9">
        <v>5.0000000000000001E-3</v>
      </c>
      <c r="CJ21" s="9">
        <v>2.7919999999999998</v>
      </c>
      <c r="CK21" s="9">
        <v>0.76900000000000002</v>
      </c>
      <c r="CL21" s="9">
        <v>-0.81599999999999995</v>
      </c>
      <c r="CM21" s="9">
        <v>2.9000000000000001E-2</v>
      </c>
      <c r="CO21" s="9">
        <v>2.774</v>
      </c>
      <c r="CP21" s="9">
        <v>0.77100000000000002</v>
      </c>
      <c r="CQ21" s="9">
        <v>-0.82399999999999995</v>
      </c>
      <c r="CR21" s="9">
        <v>3.7999999999999999E-2</v>
      </c>
      <c r="CT21" s="9">
        <v>2.7589999999999999</v>
      </c>
      <c r="CU21" s="9">
        <v>0.84299999999999997</v>
      </c>
      <c r="CV21" s="9">
        <v>-0.83499999999999996</v>
      </c>
      <c r="CW21" s="9">
        <v>2.7E-2</v>
      </c>
      <c r="CY21" s="9">
        <v>2.7930000000000001</v>
      </c>
      <c r="CZ21" s="9">
        <v>0.84599999999999997</v>
      </c>
      <c r="DA21" s="9">
        <v>-0.84099999999999997</v>
      </c>
      <c r="DB21" s="9">
        <v>8.4000000000000005E-2</v>
      </c>
      <c r="DD21" s="9">
        <v>2.8820000000000001</v>
      </c>
      <c r="DE21" s="9">
        <v>0.92900000000000005</v>
      </c>
      <c r="DF21" s="9">
        <v>-0.89500000000000002</v>
      </c>
      <c r="DG21" s="9">
        <v>0.11899999999999999</v>
      </c>
      <c r="DI21" s="9">
        <v>3.0339999999999998</v>
      </c>
      <c r="DJ21" s="9">
        <v>1.0169999999999999</v>
      </c>
      <c r="DK21" s="9">
        <v>-0.94499999999999995</v>
      </c>
      <c r="DL21" s="9">
        <v>7.3999999999999996E-2</v>
      </c>
      <c r="DN21" s="9">
        <v>3.1789999999999998</v>
      </c>
      <c r="DO21" s="9">
        <v>0.98899999999999999</v>
      </c>
      <c r="DP21" s="9">
        <v>-0.97699999999999998</v>
      </c>
      <c r="DQ21" s="9">
        <v>-5.0000000000000001E-3</v>
      </c>
      <c r="DS21" s="9">
        <v>3.1859999999999999</v>
      </c>
      <c r="DT21" s="9">
        <v>0.99299999999999999</v>
      </c>
      <c r="DU21" s="9">
        <v>-0.97299999999999998</v>
      </c>
      <c r="DV21" s="9">
        <v>-2.3E-2</v>
      </c>
      <c r="DX21" s="9">
        <v>3.1840000000000002</v>
      </c>
      <c r="DY21" s="9">
        <v>0.997</v>
      </c>
      <c r="DZ21" s="9">
        <v>-0.98499999999999999</v>
      </c>
      <c r="EA21" s="9">
        <v>4.3999999999999997E-2</v>
      </c>
      <c r="EC21" s="9">
        <v>3.2410000000000001</v>
      </c>
      <c r="ED21" s="9">
        <v>1.016</v>
      </c>
      <c r="EE21" s="9">
        <v>-1.0209999999999999</v>
      </c>
      <c r="EF21" s="9">
        <v>7.5999999999999998E-2</v>
      </c>
      <c r="EH21" s="9">
        <v>3.3119999999999998</v>
      </c>
      <c r="EI21" s="9">
        <v>1.054</v>
      </c>
      <c r="EJ21" s="9">
        <v>-1.0529999999999999</v>
      </c>
      <c r="EK21" s="9">
        <v>5.7000000000000002E-2</v>
      </c>
      <c r="EM21" s="9">
        <v>3.3690000000000002</v>
      </c>
      <c r="EN21" s="9">
        <v>1.173</v>
      </c>
      <c r="EO21" s="9">
        <v>-1.095</v>
      </c>
      <c r="EP21" s="9">
        <v>4.3999999999999997E-2</v>
      </c>
      <c r="ER21" s="9">
        <v>3.4910000000000001</v>
      </c>
      <c r="ES21" s="9">
        <v>1.07</v>
      </c>
      <c r="ET21" s="9">
        <v>-1.1080000000000001</v>
      </c>
      <c r="EU21" s="9">
        <v>2.9000000000000001E-2</v>
      </c>
      <c r="EW21" s="9">
        <v>3.4820000000000002</v>
      </c>
      <c r="EX21" s="9">
        <v>0.877</v>
      </c>
      <c r="EY21" s="9">
        <v>-1.077</v>
      </c>
      <c r="EZ21" s="9">
        <v>5.0000000000000001E-3</v>
      </c>
      <c r="FB21" s="9">
        <v>3.2869999999999999</v>
      </c>
      <c r="FC21" s="9">
        <v>0.89600000000000002</v>
      </c>
      <c r="FD21" s="9">
        <v>-1.044</v>
      </c>
      <c r="FE21" s="9">
        <v>2.5000000000000001E-2</v>
      </c>
      <c r="FG21" s="9">
        <v>3.1640000000000001</v>
      </c>
      <c r="FH21" s="9">
        <v>0.94899999999999995</v>
      </c>
      <c r="FI21" s="9">
        <v>-1.0309999999999999</v>
      </c>
      <c r="FJ21" s="9">
        <v>0.05</v>
      </c>
      <c r="FL21" s="9">
        <v>3.1320000000000001</v>
      </c>
      <c r="FM21" s="9">
        <v>1.0189999999999999</v>
      </c>
      <c r="FN21" s="9">
        <v>-1.0269999999999999</v>
      </c>
      <c r="FO21" s="9">
        <v>4.3999999999999997E-2</v>
      </c>
      <c r="FQ21" s="9">
        <v>3.1669999999999998</v>
      </c>
      <c r="FR21" s="9">
        <v>1.0189999999999999</v>
      </c>
      <c r="FS21" s="9">
        <v>-1.0309999999999999</v>
      </c>
      <c r="FT21" s="9">
        <v>1.7999999999999999E-2</v>
      </c>
      <c r="FV21" s="9">
        <v>3.173</v>
      </c>
      <c r="FW21" s="9">
        <v>1.0369999999999999</v>
      </c>
      <c r="FX21" s="9">
        <v>-1.038</v>
      </c>
      <c r="FY21" s="9">
        <v>-1E-3</v>
      </c>
      <c r="GA21" s="9">
        <v>3.1709999999999998</v>
      </c>
      <c r="GB21" s="9">
        <v>1.056</v>
      </c>
      <c r="GC21" s="9">
        <v>-1.0469999999999999</v>
      </c>
      <c r="GD21" s="9">
        <v>-1.0999999999999999E-2</v>
      </c>
      <c r="GF21" s="9">
        <v>3.169</v>
      </c>
      <c r="GG21" s="9">
        <v>1.1000000000000001</v>
      </c>
      <c r="GH21" s="9">
        <v>-1.0640000000000001</v>
      </c>
      <c r="GI21" s="9">
        <v>-8.9999999999999993E-3</v>
      </c>
      <c r="GK21" s="9">
        <v>3.1970000000000001</v>
      </c>
      <c r="GL21" s="9">
        <v>1.173</v>
      </c>
      <c r="GM21" s="9">
        <v>-1.0940000000000001</v>
      </c>
      <c r="GN21" s="9">
        <v>0.02</v>
      </c>
      <c r="GP21" s="9">
        <v>3.2959999999999998</v>
      </c>
      <c r="GQ21" s="9">
        <v>1.3080000000000001</v>
      </c>
      <c r="GR21" s="9">
        <v>-1.155</v>
      </c>
      <c r="GS21" s="9">
        <v>2.5000000000000001E-2</v>
      </c>
      <c r="GU21" s="9">
        <v>3.4740000000000002</v>
      </c>
      <c r="GV21" s="9">
        <v>1.417</v>
      </c>
      <c r="GW21" s="9">
        <v>-1.226</v>
      </c>
      <c r="GX21" s="9">
        <v>1.4E-2</v>
      </c>
      <c r="GZ21" s="9">
        <v>3.6779999999999999</v>
      </c>
      <c r="HA21" s="9">
        <v>1.516</v>
      </c>
      <c r="HB21" s="9">
        <v>-1.3089999999999999</v>
      </c>
      <c r="HC21" s="9">
        <v>4.0000000000000001E-3</v>
      </c>
      <c r="HE21" s="9">
        <v>3.8879999999999999</v>
      </c>
      <c r="HF21" s="9">
        <v>1.9930000000000001</v>
      </c>
      <c r="HG21" s="9">
        <v>-1.4690000000000001</v>
      </c>
      <c r="HH21" s="9">
        <v>5.8999999999999997E-2</v>
      </c>
      <c r="HJ21" s="9">
        <v>4.4720000000000004</v>
      </c>
      <c r="HK21" s="9">
        <v>2.2360000000000002</v>
      </c>
      <c r="HL21" s="9">
        <v>-1.69</v>
      </c>
      <c r="HM21" s="9">
        <v>0.111</v>
      </c>
      <c r="HO21" s="9">
        <v>5.1289999999999996</v>
      </c>
      <c r="HP21" s="9">
        <v>2.4950000000000001</v>
      </c>
      <c r="HQ21" s="9">
        <v>-1.9390000000000001</v>
      </c>
      <c r="HR21" s="9">
        <v>0.11799999999999999</v>
      </c>
      <c r="HT21" s="9">
        <v>5.8029999999999999</v>
      </c>
      <c r="HU21" s="9">
        <v>2.7</v>
      </c>
      <c r="HV21" s="9">
        <v>-2.1960000000000002</v>
      </c>
      <c r="HW21" s="9">
        <v>0.13200000000000001</v>
      </c>
      <c r="HY21" s="9">
        <v>6.4390000000000001</v>
      </c>
    </row>
    <row r="22" spans="1:233" x14ac:dyDescent="0.35">
      <c r="A22" s="12" t="s">
        <v>288</v>
      </c>
      <c r="B22" s="12" t="s">
        <v>289</v>
      </c>
      <c r="C22" s="9">
        <v>0.88900000000000001</v>
      </c>
      <c r="D22" s="9">
        <v>0.17799999999999999</v>
      </c>
      <c r="E22" s="9">
        <v>-0.186</v>
      </c>
      <c r="F22" s="9">
        <v>8.5999999999999993E-2</v>
      </c>
      <c r="H22" s="9">
        <v>0.96699999999999997</v>
      </c>
      <c r="I22" s="9">
        <v>0.20200000000000001</v>
      </c>
      <c r="J22" s="9">
        <v>-0.20499999999999999</v>
      </c>
      <c r="K22" s="9">
        <v>0.123</v>
      </c>
      <c r="M22" s="9">
        <v>1.087</v>
      </c>
      <c r="N22" s="9">
        <v>0.22600000000000001</v>
      </c>
      <c r="O22" s="9">
        <v>-0.23400000000000001</v>
      </c>
      <c r="P22" s="9">
        <v>0.152</v>
      </c>
      <c r="R22" s="9">
        <v>1.232</v>
      </c>
      <c r="S22" s="9">
        <v>0.255</v>
      </c>
      <c r="T22" s="9">
        <v>-0.26300000000000001</v>
      </c>
      <c r="U22" s="9">
        <v>0.124</v>
      </c>
      <c r="W22" s="9">
        <v>1.3480000000000001</v>
      </c>
      <c r="X22" s="9">
        <v>0.252</v>
      </c>
      <c r="Y22" s="9">
        <v>-0.27800000000000002</v>
      </c>
      <c r="Z22" s="9">
        <v>0.09</v>
      </c>
      <c r="AB22" s="9">
        <v>1.413</v>
      </c>
      <c r="AC22" s="9">
        <v>0.25800000000000001</v>
      </c>
      <c r="AD22" s="9">
        <v>-0.28999999999999998</v>
      </c>
      <c r="AE22" s="9">
        <v>6.9000000000000006E-2</v>
      </c>
      <c r="AG22" s="9">
        <v>1.4490000000000001</v>
      </c>
      <c r="AH22" s="9">
        <v>0.26300000000000001</v>
      </c>
      <c r="AI22" s="9">
        <v>-0.29599999999999999</v>
      </c>
      <c r="AJ22" s="9">
        <v>4.8000000000000001E-2</v>
      </c>
      <c r="AL22" s="9">
        <v>1.4650000000000001</v>
      </c>
      <c r="AM22" s="9">
        <v>0.27100000000000002</v>
      </c>
      <c r="AN22" s="9">
        <v>-0.3</v>
      </c>
      <c r="AO22" s="9">
        <v>3.5999999999999997E-2</v>
      </c>
      <c r="AQ22" s="9">
        <v>1.472</v>
      </c>
      <c r="AR22" s="9">
        <v>0.29199999999999998</v>
      </c>
      <c r="AS22" s="9">
        <v>-0.30199999999999999</v>
      </c>
      <c r="AT22" s="9">
        <v>2.5000000000000001E-2</v>
      </c>
      <c r="AV22" s="9">
        <v>1.488</v>
      </c>
      <c r="AW22" s="9">
        <v>0.30599999999999999</v>
      </c>
      <c r="AX22" s="9">
        <v>-0.30499999999999999</v>
      </c>
      <c r="AY22" s="9">
        <v>2.8000000000000001E-2</v>
      </c>
      <c r="BA22" s="9">
        <v>1.5169999999999999</v>
      </c>
      <c r="BB22" s="9">
        <v>0.34300000000000003</v>
      </c>
      <c r="BC22" s="9">
        <v>-0.313</v>
      </c>
      <c r="BD22" s="9">
        <v>1.9E-2</v>
      </c>
      <c r="BF22" s="9">
        <v>1.5660000000000001</v>
      </c>
      <c r="BG22" s="9">
        <v>0.33600000000000002</v>
      </c>
      <c r="BH22" s="9">
        <v>-0.316</v>
      </c>
      <c r="BI22" s="9">
        <v>2.5000000000000001E-2</v>
      </c>
      <c r="BK22" s="9">
        <v>1.611</v>
      </c>
      <c r="BL22" s="9">
        <v>0.307</v>
      </c>
      <c r="BM22" s="9">
        <v>-0.32300000000000001</v>
      </c>
      <c r="BN22" s="9">
        <v>3.4000000000000002E-2</v>
      </c>
      <c r="BP22" s="9">
        <v>1.629</v>
      </c>
      <c r="BQ22" s="9">
        <v>0.28299999999999997</v>
      </c>
      <c r="BR22" s="9">
        <v>-0.32300000000000001</v>
      </c>
      <c r="BS22" s="9">
        <v>7.0000000000000001E-3</v>
      </c>
      <c r="BU22" s="9">
        <v>1.5960000000000001</v>
      </c>
      <c r="BV22" s="9">
        <v>0.253</v>
      </c>
      <c r="BW22" s="9">
        <v>-0.313</v>
      </c>
      <c r="BX22" s="9">
        <v>1E-3</v>
      </c>
      <c r="BZ22" s="9">
        <v>1.536</v>
      </c>
      <c r="CA22" s="9">
        <v>0.26400000000000001</v>
      </c>
      <c r="CB22" s="9">
        <v>-0.309</v>
      </c>
      <c r="CC22" s="9">
        <v>-4.0000000000000001E-3</v>
      </c>
      <c r="CE22" s="9">
        <v>1.488</v>
      </c>
      <c r="CF22" s="9">
        <v>0.27300000000000002</v>
      </c>
      <c r="CG22" s="9">
        <v>-0.29899999999999999</v>
      </c>
      <c r="CH22" s="9">
        <v>-8.0000000000000002E-3</v>
      </c>
      <c r="CJ22" s="9">
        <v>1.454</v>
      </c>
      <c r="CK22" s="9">
        <v>0.28199999999999997</v>
      </c>
      <c r="CL22" s="9">
        <v>-0.29599999999999999</v>
      </c>
      <c r="CM22" s="9">
        <v>8.9999999999999993E-3</v>
      </c>
      <c r="CO22" s="9">
        <v>1.4490000000000001</v>
      </c>
      <c r="CP22" s="9">
        <v>0.27500000000000002</v>
      </c>
      <c r="CQ22" s="9">
        <v>-0.29399999999999998</v>
      </c>
      <c r="CR22" s="9">
        <v>0.01</v>
      </c>
      <c r="CT22" s="9">
        <v>1.44</v>
      </c>
      <c r="CU22" s="9">
        <v>0.28199999999999997</v>
      </c>
      <c r="CV22" s="9">
        <v>-0.29199999999999998</v>
      </c>
      <c r="CW22" s="9">
        <v>7.0000000000000001E-3</v>
      </c>
      <c r="CY22" s="9">
        <v>1.4370000000000001</v>
      </c>
      <c r="CZ22" s="9">
        <v>0.28199999999999997</v>
      </c>
      <c r="DA22" s="9">
        <v>-0.29099999999999998</v>
      </c>
      <c r="DB22" s="9">
        <v>3.6999999999999998E-2</v>
      </c>
      <c r="DD22" s="9">
        <v>1.466</v>
      </c>
      <c r="DE22" s="9">
        <v>0.27500000000000002</v>
      </c>
      <c r="DF22" s="9">
        <v>-0.3</v>
      </c>
      <c r="DG22" s="9">
        <v>5.7000000000000002E-2</v>
      </c>
      <c r="DI22" s="9">
        <v>1.498</v>
      </c>
      <c r="DJ22" s="9">
        <v>0.26800000000000002</v>
      </c>
      <c r="DK22" s="9">
        <v>-0.30399999999999999</v>
      </c>
      <c r="DL22" s="9">
        <v>3.3000000000000002E-2</v>
      </c>
      <c r="DN22" s="9">
        <v>1.4950000000000001</v>
      </c>
      <c r="DO22" s="9">
        <v>0.252</v>
      </c>
      <c r="DP22" s="9">
        <v>-0.3</v>
      </c>
      <c r="DQ22" s="9">
        <v>2.4E-2</v>
      </c>
      <c r="DS22" s="9">
        <v>1.4710000000000001</v>
      </c>
      <c r="DT22" s="9">
        <v>0.23499999999999999</v>
      </c>
      <c r="DU22" s="9">
        <v>-0.29699999999999999</v>
      </c>
      <c r="DV22" s="9">
        <v>3.6999999999999998E-2</v>
      </c>
      <c r="DX22" s="9">
        <v>1.4470000000000001</v>
      </c>
      <c r="DY22" s="9">
        <v>0.24399999999999999</v>
      </c>
      <c r="DZ22" s="9">
        <v>-0.29599999999999999</v>
      </c>
      <c r="EA22" s="9">
        <v>5.3999999999999999E-2</v>
      </c>
      <c r="EC22" s="9">
        <v>1.4490000000000001</v>
      </c>
      <c r="ED22" s="9">
        <v>0.23</v>
      </c>
      <c r="EE22" s="9">
        <v>-0.29799999999999999</v>
      </c>
      <c r="EF22" s="9">
        <v>5.3999999999999999E-2</v>
      </c>
      <c r="EH22" s="9">
        <v>1.4339999999999999</v>
      </c>
      <c r="EI22" s="9">
        <v>0.23400000000000001</v>
      </c>
      <c r="EJ22" s="9">
        <v>-0.29499999999999998</v>
      </c>
      <c r="EK22" s="9">
        <v>3.9E-2</v>
      </c>
      <c r="EM22" s="9">
        <v>1.4119999999999999</v>
      </c>
      <c r="EN22" s="9">
        <v>0.254</v>
      </c>
      <c r="EO22" s="9">
        <v>-0.29299999999999998</v>
      </c>
      <c r="EP22" s="9">
        <v>4.3999999999999997E-2</v>
      </c>
      <c r="ER22" s="9">
        <v>1.417</v>
      </c>
      <c r="ES22" s="9">
        <v>0.255</v>
      </c>
      <c r="ET22" s="9">
        <v>-0.29499999999999998</v>
      </c>
      <c r="EU22" s="9">
        <v>3.6999999999999998E-2</v>
      </c>
      <c r="EW22" s="9">
        <v>1.4139999999999999</v>
      </c>
      <c r="EX22" s="9">
        <v>0.21199999999999999</v>
      </c>
      <c r="EY22" s="9">
        <v>-0.28599999999999998</v>
      </c>
      <c r="EZ22" s="9">
        <v>1.2999999999999999E-2</v>
      </c>
      <c r="FB22" s="9">
        <v>1.353</v>
      </c>
      <c r="FC22" s="9">
        <v>0.19700000000000001</v>
      </c>
      <c r="FD22" s="9">
        <v>-0.27300000000000002</v>
      </c>
      <c r="FE22" s="9">
        <v>0.02</v>
      </c>
      <c r="FG22" s="9">
        <v>1.2969999999999999</v>
      </c>
      <c r="FH22" s="9">
        <v>0.223</v>
      </c>
      <c r="FI22" s="9">
        <v>-0.27</v>
      </c>
      <c r="FJ22" s="9">
        <v>4.1000000000000002E-2</v>
      </c>
      <c r="FL22" s="9">
        <v>1.2909999999999999</v>
      </c>
      <c r="FM22" s="9">
        <v>0.22500000000000001</v>
      </c>
      <c r="FN22" s="9">
        <v>-0.27</v>
      </c>
      <c r="FO22" s="9">
        <v>0.03</v>
      </c>
      <c r="FQ22" s="9">
        <v>1.2769999999999999</v>
      </c>
      <c r="FR22" s="9">
        <v>0.20799999999999999</v>
      </c>
      <c r="FS22" s="9">
        <v>-0.26200000000000001</v>
      </c>
      <c r="FT22" s="9">
        <v>8.0000000000000002E-3</v>
      </c>
      <c r="FV22" s="9">
        <v>1.232</v>
      </c>
      <c r="FW22" s="9">
        <v>0.186</v>
      </c>
      <c r="FX22" s="9">
        <v>-0.25</v>
      </c>
      <c r="FY22" s="9">
        <v>-6.0000000000000001E-3</v>
      </c>
      <c r="GA22" s="9">
        <v>1.1619999999999999</v>
      </c>
      <c r="GB22" s="9">
        <v>0.17699999999999999</v>
      </c>
      <c r="GC22" s="9">
        <v>-0.23499999999999999</v>
      </c>
      <c r="GD22" s="9">
        <v>-1.4999999999999999E-2</v>
      </c>
      <c r="GF22" s="9">
        <v>1.0880000000000001</v>
      </c>
      <c r="GG22" s="9">
        <v>0.17100000000000001</v>
      </c>
      <c r="GH22" s="9">
        <v>-0.221</v>
      </c>
      <c r="GI22" s="9">
        <v>-6.0000000000000001E-3</v>
      </c>
      <c r="GK22" s="9">
        <v>1.032</v>
      </c>
      <c r="GL22" s="9">
        <v>0.14199999999999999</v>
      </c>
      <c r="GM22" s="9">
        <v>-0.21</v>
      </c>
      <c r="GN22" s="9">
        <v>1.4E-2</v>
      </c>
      <c r="GP22" s="9">
        <v>0.97899999999999998</v>
      </c>
      <c r="GQ22" s="9">
        <v>0.159</v>
      </c>
      <c r="GR22" s="9">
        <v>-0.20399999999999999</v>
      </c>
      <c r="GS22" s="9">
        <v>0.02</v>
      </c>
      <c r="GU22" s="9">
        <v>0.95299999999999996</v>
      </c>
      <c r="GV22" s="9">
        <v>0.14899999999999999</v>
      </c>
      <c r="GW22" s="9">
        <v>-0.19700000000000001</v>
      </c>
      <c r="GX22" s="9">
        <v>1.2E-2</v>
      </c>
      <c r="GZ22" s="9">
        <v>0.91700000000000004</v>
      </c>
      <c r="HA22" s="9">
        <v>0.14199999999999999</v>
      </c>
      <c r="HB22" s="9">
        <v>-0.189</v>
      </c>
      <c r="HC22" s="9">
        <v>4.0000000000000001E-3</v>
      </c>
      <c r="HE22" s="9">
        <v>0.874</v>
      </c>
      <c r="HF22" s="9">
        <v>0.13800000000000001</v>
      </c>
      <c r="HG22" s="9">
        <v>-0.18</v>
      </c>
      <c r="HH22" s="9">
        <v>1.2999999999999999E-2</v>
      </c>
      <c r="HJ22" s="9">
        <v>0.84499999999999997</v>
      </c>
      <c r="HK22" s="9">
        <v>0.13400000000000001</v>
      </c>
      <c r="HL22" s="9">
        <v>-0.17599999999999999</v>
      </c>
      <c r="HM22" s="9">
        <v>1.9E-2</v>
      </c>
      <c r="HO22" s="9">
        <v>0.82199999999999995</v>
      </c>
      <c r="HP22" s="9">
        <v>0.13600000000000001</v>
      </c>
      <c r="HQ22" s="9">
        <v>-0.17100000000000001</v>
      </c>
      <c r="HR22" s="9">
        <v>1.7000000000000001E-2</v>
      </c>
      <c r="HT22" s="9">
        <v>0.80500000000000005</v>
      </c>
      <c r="HU22" s="9">
        <v>0.13</v>
      </c>
      <c r="HV22" s="9">
        <v>-0.16700000000000001</v>
      </c>
      <c r="HW22" s="9">
        <v>0.02</v>
      </c>
      <c r="HY22" s="9">
        <v>0.78800000000000003</v>
      </c>
    </row>
    <row r="23" spans="1:233" x14ac:dyDescent="0.35">
      <c r="A23" s="12" t="s">
        <v>290</v>
      </c>
      <c r="B23" s="12" t="s">
        <v>291</v>
      </c>
      <c r="C23" s="9">
        <v>0.30399999999999999</v>
      </c>
      <c r="D23" s="9">
        <v>0.14599999999999999</v>
      </c>
      <c r="E23" s="9">
        <v>-0.13100000000000001</v>
      </c>
      <c r="F23" s="9">
        <v>4.3999999999999997E-2</v>
      </c>
      <c r="H23" s="9">
        <v>0.36299999999999999</v>
      </c>
      <c r="I23" s="9">
        <v>0.16600000000000001</v>
      </c>
      <c r="J23" s="9">
        <v>-0.153</v>
      </c>
      <c r="K23" s="9">
        <v>4.1000000000000002E-2</v>
      </c>
      <c r="M23" s="9">
        <v>0.41699999999999998</v>
      </c>
      <c r="N23" s="9">
        <v>0.16900000000000001</v>
      </c>
      <c r="O23" s="9">
        <v>-0.17100000000000001</v>
      </c>
      <c r="P23" s="9">
        <v>4.2999999999999997E-2</v>
      </c>
      <c r="R23" s="9">
        <v>0.45800000000000002</v>
      </c>
      <c r="S23" s="9">
        <v>0.17399999999999999</v>
      </c>
      <c r="T23" s="9">
        <v>-0.189</v>
      </c>
      <c r="U23" s="9">
        <v>4.1000000000000002E-2</v>
      </c>
      <c r="W23" s="9">
        <v>0.48399999999999999</v>
      </c>
      <c r="X23" s="9">
        <v>0.19500000000000001</v>
      </c>
      <c r="Y23" s="9">
        <v>-0.20200000000000001</v>
      </c>
      <c r="Z23" s="9">
        <v>3.5000000000000003E-2</v>
      </c>
      <c r="AB23" s="9">
        <v>0.51100000000000001</v>
      </c>
      <c r="AC23" s="9">
        <v>0.23899999999999999</v>
      </c>
      <c r="AD23" s="9">
        <v>-0.219</v>
      </c>
      <c r="AE23" s="9">
        <v>3.5000000000000003E-2</v>
      </c>
      <c r="AG23" s="9">
        <v>0.56599999999999995</v>
      </c>
      <c r="AH23" s="9">
        <v>0.27400000000000002</v>
      </c>
      <c r="AI23" s="9">
        <v>-0.23899999999999999</v>
      </c>
      <c r="AJ23" s="9">
        <v>2.8000000000000001E-2</v>
      </c>
      <c r="AL23" s="9">
        <v>0.629</v>
      </c>
      <c r="AM23" s="9">
        <v>0.35599999999999998</v>
      </c>
      <c r="AN23" s="9">
        <v>-0.27200000000000002</v>
      </c>
      <c r="AO23" s="9">
        <v>3.2000000000000001E-2</v>
      </c>
      <c r="AQ23" s="9">
        <v>0.745</v>
      </c>
      <c r="AR23" s="9">
        <v>0.37</v>
      </c>
      <c r="AS23" s="9">
        <v>-0.30599999999999999</v>
      </c>
      <c r="AT23" s="9">
        <v>3.4000000000000002E-2</v>
      </c>
      <c r="AV23" s="9">
        <v>0.84299999999999997</v>
      </c>
      <c r="AW23" s="9">
        <v>0.39400000000000002</v>
      </c>
      <c r="AX23" s="9">
        <v>-0.34200000000000003</v>
      </c>
      <c r="AY23" s="9">
        <v>3.5999999999999997E-2</v>
      </c>
      <c r="BA23" s="9">
        <v>0.93100000000000005</v>
      </c>
      <c r="BB23" s="9">
        <v>0.48499999999999999</v>
      </c>
      <c r="BC23" s="9">
        <v>-0.38900000000000001</v>
      </c>
      <c r="BD23" s="9">
        <v>1.2E-2</v>
      </c>
      <c r="BF23" s="9">
        <v>1.04</v>
      </c>
      <c r="BG23" s="9">
        <v>0.48</v>
      </c>
      <c r="BH23" s="9">
        <v>-0.41499999999999998</v>
      </c>
      <c r="BI23" s="9">
        <v>2.7E-2</v>
      </c>
      <c r="BK23" s="9">
        <v>1.133</v>
      </c>
      <c r="BL23" s="9">
        <v>0.441</v>
      </c>
      <c r="BM23" s="9">
        <v>-0.44800000000000001</v>
      </c>
      <c r="BN23" s="9">
        <v>2.8000000000000001E-2</v>
      </c>
      <c r="BP23" s="9">
        <v>1.153</v>
      </c>
      <c r="BQ23" s="9">
        <v>0.497</v>
      </c>
      <c r="BR23" s="9">
        <v>-0.46400000000000002</v>
      </c>
      <c r="BS23" s="9">
        <v>-8.9999999999999993E-3</v>
      </c>
      <c r="BU23" s="9">
        <v>1.1779999999999999</v>
      </c>
      <c r="BV23" s="9">
        <v>0.46600000000000003</v>
      </c>
      <c r="BW23" s="9">
        <v>-0.46600000000000003</v>
      </c>
      <c r="BX23" s="9">
        <v>3.0000000000000001E-3</v>
      </c>
      <c r="BZ23" s="9">
        <v>1.181</v>
      </c>
      <c r="CA23" s="9">
        <v>0.56499999999999995</v>
      </c>
      <c r="CB23" s="9">
        <v>-0.49</v>
      </c>
      <c r="CC23" s="9">
        <v>1.0999999999999999E-2</v>
      </c>
      <c r="CE23" s="9">
        <v>1.2669999999999999</v>
      </c>
      <c r="CF23" s="9">
        <v>0.56899999999999995</v>
      </c>
      <c r="CG23" s="9">
        <v>-0.51200000000000001</v>
      </c>
      <c r="CH23" s="9">
        <v>1.2999999999999999E-2</v>
      </c>
      <c r="CJ23" s="9">
        <v>1.3360000000000001</v>
      </c>
      <c r="CK23" s="9">
        <v>0.48499999999999999</v>
      </c>
      <c r="CL23" s="9">
        <v>-0.51900000000000002</v>
      </c>
      <c r="CM23" s="9">
        <v>0.02</v>
      </c>
      <c r="CO23" s="9">
        <v>1.323</v>
      </c>
      <c r="CP23" s="9">
        <v>0.49399999999999999</v>
      </c>
      <c r="CQ23" s="9">
        <v>-0.52800000000000002</v>
      </c>
      <c r="CR23" s="9">
        <v>2.9000000000000001E-2</v>
      </c>
      <c r="CT23" s="9">
        <v>1.3169999999999999</v>
      </c>
      <c r="CU23" s="9">
        <v>0.56000000000000005</v>
      </c>
      <c r="CV23" s="9">
        <v>-0.54200000000000004</v>
      </c>
      <c r="CW23" s="9">
        <v>1.9E-2</v>
      </c>
      <c r="CY23" s="9">
        <v>1.3540000000000001</v>
      </c>
      <c r="CZ23" s="9">
        <v>0.56200000000000006</v>
      </c>
      <c r="DA23" s="9">
        <v>-0.54900000000000004</v>
      </c>
      <c r="DB23" s="9">
        <v>4.7E-2</v>
      </c>
      <c r="DD23" s="9">
        <v>1.4139999999999999</v>
      </c>
      <c r="DE23" s="9">
        <v>0.65</v>
      </c>
      <c r="DF23" s="9">
        <v>-0.59399999999999997</v>
      </c>
      <c r="DG23" s="9">
        <v>6.0999999999999999E-2</v>
      </c>
      <c r="DI23" s="9">
        <v>1.532</v>
      </c>
      <c r="DJ23" s="9">
        <v>0.746</v>
      </c>
      <c r="DK23" s="9">
        <v>-0.63900000000000001</v>
      </c>
      <c r="DL23" s="9">
        <v>4.1000000000000002E-2</v>
      </c>
      <c r="DN23" s="9">
        <v>1.68</v>
      </c>
      <c r="DO23" s="9">
        <v>0.73199999999999998</v>
      </c>
      <c r="DP23" s="9">
        <v>-0.67400000000000004</v>
      </c>
      <c r="DQ23" s="9">
        <v>-2.8000000000000001E-2</v>
      </c>
      <c r="DS23" s="9">
        <v>1.71</v>
      </c>
      <c r="DT23" s="9">
        <v>0.75600000000000001</v>
      </c>
      <c r="DU23" s="9">
        <v>-0.67300000000000004</v>
      </c>
      <c r="DV23" s="9">
        <v>-0.06</v>
      </c>
      <c r="DX23" s="9">
        <v>1.7330000000000001</v>
      </c>
      <c r="DY23" s="9">
        <v>0.751</v>
      </c>
      <c r="DZ23" s="9">
        <v>-0.68600000000000005</v>
      </c>
      <c r="EA23" s="9">
        <v>-1.0999999999999999E-2</v>
      </c>
      <c r="EC23" s="9">
        <v>1.788</v>
      </c>
      <c r="ED23" s="9">
        <v>0.78300000000000003</v>
      </c>
      <c r="EE23" s="9">
        <v>-0.72</v>
      </c>
      <c r="EF23" s="9">
        <v>2.1999999999999999E-2</v>
      </c>
      <c r="EH23" s="9">
        <v>1.873</v>
      </c>
      <c r="EI23" s="9">
        <v>0.81599999999999995</v>
      </c>
      <c r="EJ23" s="9">
        <v>-0.755</v>
      </c>
      <c r="EK23" s="9">
        <v>1.7999999999999999E-2</v>
      </c>
      <c r="EM23" s="9">
        <v>1.952</v>
      </c>
      <c r="EN23" s="9">
        <v>0.91500000000000004</v>
      </c>
      <c r="EO23" s="9">
        <v>-0.79800000000000004</v>
      </c>
      <c r="EP23" s="9">
        <v>0</v>
      </c>
      <c r="ER23" s="9">
        <v>2.069</v>
      </c>
      <c r="ES23" s="9">
        <v>0.81200000000000006</v>
      </c>
      <c r="ET23" s="9">
        <v>-0.81</v>
      </c>
      <c r="EU23" s="9">
        <v>-8.0000000000000002E-3</v>
      </c>
      <c r="EW23" s="9">
        <v>2.0630000000000002</v>
      </c>
      <c r="EX23" s="9">
        <v>0.66100000000000003</v>
      </c>
      <c r="EY23" s="9">
        <v>-0.78800000000000003</v>
      </c>
      <c r="EZ23" s="9">
        <v>-7.0000000000000001E-3</v>
      </c>
      <c r="FB23" s="9">
        <v>1.929</v>
      </c>
      <c r="FC23" s="9">
        <v>0.69499999999999995</v>
      </c>
      <c r="FD23" s="9">
        <v>-0.76700000000000002</v>
      </c>
      <c r="FE23" s="9">
        <v>4.0000000000000001E-3</v>
      </c>
      <c r="FG23" s="9">
        <v>1.861</v>
      </c>
      <c r="FH23" s="9">
        <v>0.72599999999999998</v>
      </c>
      <c r="FI23" s="9">
        <v>-0.75800000000000001</v>
      </c>
      <c r="FJ23" s="9">
        <v>8.9999999999999993E-3</v>
      </c>
      <c r="FL23" s="9">
        <v>1.8380000000000001</v>
      </c>
      <c r="FM23" s="9">
        <v>0.78600000000000003</v>
      </c>
      <c r="FN23" s="9">
        <v>-0.754</v>
      </c>
      <c r="FO23" s="9">
        <v>1.2999999999999999E-2</v>
      </c>
      <c r="FQ23" s="9">
        <v>1.883</v>
      </c>
      <c r="FR23" s="9">
        <v>0.80800000000000005</v>
      </c>
      <c r="FS23" s="9">
        <v>-0.76600000000000001</v>
      </c>
      <c r="FT23" s="9">
        <v>0.01</v>
      </c>
      <c r="FV23" s="9">
        <v>1.9350000000000001</v>
      </c>
      <c r="FW23" s="9">
        <v>0.85</v>
      </c>
      <c r="FX23" s="9">
        <v>-0.78500000000000003</v>
      </c>
      <c r="FY23" s="9">
        <v>5.0000000000000001E-3</v>
      </c>
      <c r="GA23" s="9">
        <v>2.0049999999999999</v>
      </c>
      <c r="GB23" s="9">
        <v>0.878</v>
      </c>
      <c r="GC23" s="9">
        <v>-0.80900000000000005</v>
      </c>
      <c r="GD23" s="9">
        <v>4.0000000000000001E-3</v>
      </c>
      <c r="GF23" s="9">
        <v>2.0779999999999998</v>
      </c>
      <c r="GG23" s="9">
        <v>0.92700000000000005</v>
      </c>
      <c r="GH23" s="9">
        <v>-0.84</v>
      </c>
      <c r="GI23" s="9">
        <v>-3.0000000000000001E-3</v>
      </c>
      <c r="GK23" s="9">
        <v>2.1619999999999999</v>
      </c>
      <c r="GL23" s="9">
        <v>1.0289999999999999</v>
      </c>
      <c r="GM23" s="9">
        <v>-0.88300000000000001</v>
      </c>
      <c r="GN23" s="9">
        <v>5.0000000000000001E-3</v>
      </c>
      <c r="GP23" s="9">
        <v>2.3140000000000001</v>
      </c>
      <c r="GQ23" s="9">
        <v>1.147</v>
      </c>
      <c r="GR23" s="9">
        <v>-0.94799999999999995</v>
      </c>
      <c r="GS23" s="9">
        <v>6.0000000000000001E-3</v>
      </c>
      <c r="GU23" s="9">
        <v>2.5179999999999998</v>
      </c>
      <c r="GV23" s="9">
        <v>1.2649999999999999</v>
      </c>
      <c r="GW23" s="9">
        <v>-1.0269999999999999</v>
      </c>
      <c r="GX23" s="9">
        <v>2E-3</v>
      </c>
      <c r="GZ23" s="9">
        <v>2.758</v>
      </c>
      <c r="HA23" s="9">
        <v>1.371</v>
      </c>
      <c r="HB23" s="9">
        <v>-1.1180000000000001</v>
      </c>
      <c r="HC23" s="9">
        <v>-1E-3</v>
      </c>
      <c r="HE23" s="9">
        <v>3.01</v>
      </c>
      <c r="HF23" s="9">
        <v>1.8520000000000001</v>
      </c>
      <c r="HG23" s="9">
        <v>-1.286</v>
      </c>
      <c r="HH23" s="9">
        <v>4.5999999999999999E-2</v>
      </c>
      <c r="HJ23" s="9">
        <v>3.6219999999999999</v>
      </c>
      <c r="HK23" s="9">
        <v>2.097</v>
      </c>
      <c r="HL23" s="9">
        <v>-1.5109999999999999</v>
      </c>
      <c r="HM23" s="9">
        <v>9.2999999999999999E-2</v>
      </c>
      <c r="HO23" s="9">
        <v>4.3010000000000002</v>
      </c>
      <c r="HP23" s="9">
        <v>2.3519999999999999</v>
      </c>
      <c r="HQ23" s="9">
        <v>-1.764</v>
      </c>
      <c r="HR23" s="9">
        <v>0.10100000000000001</v>
      </c>
      <c r="HT23" s="9">
        <v>4.99</v>
      </c>
      <c r="HU23" s="9">
        <v>2.5619999999999998</v>
      </c>
      <c r="HV23" s="9">
        <v>-2.024</v>
      </c>
      <c r="HW23" s="9">
        <v>0.113</v>
      </c>
      <c r="HY23" s="9">
        <v>5.6420000000000003</v>
      </c>
    </row>
    <row r="24" spans="1:233" x14ac:dyDescent="0.35">
      <c r="A24" s="12" t="s">
        <v>292</v>
      </c>
      <c r="B24" s="12" t="s">
        <v>293</v>
      </c>
      <c r="C24" s="9">
        <v>0</v>
      </c>
      <c r="D24" s="9">
        <v>0</v>
      </c>
      <c r="E24" s="9">
        <v>0</v>
      </c>
      <c r="F24" s="9">
        <v>0</v>
      </c>
      <c r="H24" s="9">
        <v>0</v>
      </c>
      <c r="I24" s="9">
        <v>0</v>
      </c>
      <c r="J24" s="9">
        <v>0</v>
      </c>
      <c r="K24" s="9">
        <v>0</v>
      </c>
      <c r="M24" s="9">
        <v>0</v>
      </c>
      <c r="N24" s="9">
        <v>0</v>
      </c>
      <c r="O24" s="9">
        <v>0</v>
      </c>
      <c r="P24" s="9">
        <v>0</v>
      </c>
      <c r="R24" s="9">
        <v>0</v>
      </c>
      <c r="S24" s="9">
        <v>0</v>
      </c>
      <c r="T24" s="9">
        <v>0</v>
      </c>
      <c r="U24" s="9">
        <v>0</v>
      </c>
      <c r="W24" s="9">
        <v>0</v>
      </c>
      <c r="X24" s="9">
        <v>0</v>
      </c>
      <c r="Y24" s="9">
        <v>0</v>
      </c>
      <c r="Z24" s="9">
        <v>0</v>
      </c>
      <c r="AB24" s="9">
        <v>0</v>
      </c>
      <c r="AC24" s="9">
        <v>0</v>
      </c>
      <c r="AD24" s="9">
        <v>0</v>
      </c>
      <c r="AE24" s="9">
        <v>0</v>
      </c>
      <c r="AG24" s="9">
        <v>0</v>
      </c>
      <c r="AH24" s="9">
        <v>0</v>
      </c>
      <c r="AI24" s="9">
        <v>0</v>
      </c>
      <c r="AJ24" s="9">
        <v>1E-3</v>
      </c>
      <c r="AL24" s="9">
        <v>1E-3</v>
      </c>
      <c r="AM24" s="9">
        <v>0</v>
      </c>
      <c r="AN24" s="9">
        <v>0</v>
      </c>
      <c r="AO24" s="9">
        <v>0</v>
      </c>
      <c r="AQ24" s="9">
        <v>1E-3</v>
      </c>
      <c r="AR24" s="9">
        <v>1E-3</v>
      </c>
      <c r="AS24" s="9">
        <v>0</v>
      </c>
      <c r="AT24" s="9">
        <v>0</v>
      </c>
      <c r="AV24" s="9">
        <v>1E-3</v>
      </c>
      <c r="AW24" s="9">
        <v>1E-3</v>
      </c>
      <c r="AX24" s="9">
        <v>-1E-3</v>
      </c>
      <c r="AY24" s="9">
        <v>0</v>
      </c>
      <c r="BA24" s="9">
        <v>1E-3</v>
      </c>
      <c r="BB24" s="9">
        <v>1E-3</v>
      </c>
      <c r="BC24" s="9">
        <v>-1E-3</v>
      </c>
      <c r="BD24" s="9">
        <v>0</v>
      </c>
      <c r="BF24" s="9">
        <v>1E-3</v>
      </c>
      <c r="BG24" s="9">
        <v>1E-3</v>
      </c>
      <c r="BH24" s="9">
        <v>-1E-3</v>
      </c>
      <c r="BI24" s="9">
        <v>1E-3</v>
      </c>
      <c r="BK24" s="9">
        <v>2E-3</v>
      </c>
      <c r="BL24" s="9">
        <v>1E-3</v>
      </c>
      <c r="BM24" s="9">
        <v>-1E-3</v>
      </c>
      <c r="BN24" s="9">
        <v>0</v>
      </c>
      <c r="BP24" s="9">
        <v>2E-3</v>
      </c>
      <c r="BQ24" s="9">
        <v>2E-3</v>
      </c>
      <c r="BR24" s="9">
        <v>-1E-3</v>
      </c>
      <c r="BS24" s="9">
        <v>1E-3</v>
      </c>
      <c r="BU24" s="9">
        <v>3.0000000000000001E-3</v>
      </c>
      <c r="BV24" s="9">
        <v>1E-3</v>
      </c>
      <c r="BW24" s="9">
        <v>-2E-3</v>
      </c>
      <c r="BX24" s="9">
        <v>-1E-3</v>
      </c>
      <c r="BZ24" s="9">
        <v>2E-3</v>
      </c>
      <c r="CA24" s="9">
        <v>1E-3</v>
      </c>
      <c r="CB24" s="9">
        <v>-2E-3</v>
      </c>
      <c r="CC24" s="9">
        <v>0</v>
      </c>
      <c r="CE24" s="9">
        <v>2E-3</v>
      </c>
      <c r="CF24" s="9">
        <v>1E-3</v>
      </c>
      <c r="CG24" s="9">
        <v>-2E-3</v>
      </c>
      <c r="CH24" s="9">
        <v>0</v>
      </c>
      <c r="CJ24" s="9">
        <v>2E-3</v>
      </c>
      <c r="CK24" s="9">
        <v>2E-3</v>
      </c>
      <c r="CL24" s="9">
        <v>-1E-3</v>
      </c>
      <c r="CM24" s="9">
        <v>0</v>
      </c>
      <c r="CO24" s="9">
        <v>2E-3</v>
      </c>
      <c r="CP24" s="9">
        <v>2E-3</v>
      </c>
      <c r="CQ24" s="9">
        <v>-1E-3</v>
      </c>
      <c r="CR24" s="9">
        <v>0</v>
      </c>
      <c r="CT24" s="9">
        <v>2E-3</v>
      </c>
      <c r="CU24" s="9">
        <v>1E-3</v>
      </c>
      <c r="CV24" s="9">
        <v>-2E-3</v>
      </c>
      <c r="CW24" s="9">
        <v>0</v>
      </c>
      <c r="CY24" s="9">
        <v>2E-3</v>
      </c>
      <c r="CZ24" s="9">
        <v>1E-3</v>
      </c>
      <c r="DA24" s="9">
        <v>-2E-3</v>
      </c>
      <c r="DB24" s="9">
        <v>0</v>
      </c>
      <c r="DD24" s="9">
        <v>2E-3</v>
      </c>
      <c r="DE24" s="9">
        <v>3.0000000000000001E-3</v>
      </c>
      <c r="DF24" s="9">
        <v>-2E-3</v>
      </c>
      <c r="DG24" s="9">
        <v>1E-3</v>
      </c>
      <c r="DI24" s="9">
        <v>4.0000000000000001E-3</v>
      </c>
      <c r="DJ24" s="9">
        <v>3.0000000000000001E-3</v>
      </c>
      <c r="DK24" s="9">
        <v>-2E-3</v>
      </c>
      <c r="DL24" s="9">
        <v>0</v>
      </c>
      <c r="DN24" s="9">
        <v>4.0000000000000001E-3</v>
      </c>
      <c r="DO24" s="9">
        <v>4.0000000000000001E-3</v>
      </c>
      <c r="DP24" s="9">
        <v>-3.0000000000000001E-3</v>
      </c>
      <c r="DQ24" s="9">
        <v>0</v>
      </c>
      <c r="DS24" s="9">
        <v>5.0000000000000001E-3</v>
      </c>
      <c r="DT24" s="9">
        <v>2E-3</v>
      </c>
      <c r="DU24" s="9">
        <v>-3.0000000000000001E-3</v>
      </c>
      <c r="DV24" s="9">
        <v>0</v>
      </c>
      <c r="DX24" s="9">
        <v>4.0000000000000001E-3</v>
      </c>
      <c r="DY24" s="9">
        <v>2E-3</v>
      </c>
      <c r="DZ24" s="9">
        <v>-3.0000000000000001E-3</v>
      </c>
      <c r="EA24" s="9">
        <v>1E-3</v>
      </c>
      <c r="EC24" s="9">
        <v>4.0000000000000001E-3</v>
      </c>
      <c r="ED24" s="9">
        <v>3.0000000000000001E-3</v>
      </c>
      <c r="EE24" s="9">
        <v>-3.0000000000000001E-3</v>
      </c>
      <c r="EF24" s="9">
        <v>1E-3</v>
      </c>
      <c r="EH24" s="9">
        <v>5.0000000000000001E-3</v>
      </c>
      <c r="EI24" s="9">
        <v>3.0000000000000001E-3</v>
      </c>
      <c r="EJ24" s="9">
        <v>-3.0000000000000001E-3</v>
      </c>
      <c r="EK24" s="9">
        <v>0</v>
      </c>
      <c r="EM24" s="9">
        <v>5.0000000000000001E-3</v>
      </c>
      <c r="EN24" s="9">
        <v>3.0000000000000001E-3</v>
      </c>
      <c r="EO24" s="9">
        <v>-3.0000000000000001E-3</v>
      </c>
      <c r="EP24" s="9">
        <v>0</v>
      </c>
      <c r="ER24" s="9">
        <v>5.0000000000000001E-3</v>
      </c>
      <c r="ES24" s="9">
        <v>4.0000000000000001E-3</v>
      </c>
      <c r="ET24" s="9">
        <v>-3.0000000000000001E-3</v>
      </c>
      <c r="EU24" s="9">
        <v>0</v>
      </c>
      <c r="EW24" s="9">
        <v>5.0000000000000001E-3</v>
      </c>
      <c r="EX24" s="9">
        <v>4.0000000000000001E-3</v>
      </c>
      <c r="EY24" s="9">
        <v>-4.0000000000000001E-3</v>
      </c>
      <c r="EZ24" s="9">
        <v>0</v>
      </c>
      <c r="FB24" s="9">
        <v>5.0000000000000001E-3</v>
      </c>
      <c r="FC24" s="9">
        <v>4.0000000000000001E-3</v>
      </c>
      <c r="FD24" s="9">
        <v>-4.0000000000000001E-3</v>
      </c>
      <c r="FE24" s="9">
        <v>1E-3</v>
      </c>
      <c r="FG24" s="9">
        <v>6.0000000000000001E-3</v>
      </c>
      <c r="FH24" s="9">
        <v>1E-3</v>
      </c>
      <c r="FI24" s="9">
        <v>-3.0000000000000001E-3</v>
      </c>
      <c r="FJ24" s="9">
        <v>-1E-3</v>
      </c>
      <c r="FL24" s="9">
        <v>3.0000000000000001E-3</v>
      </c>
      <c r="FM24" s="9">
        <v>8.0000000000000002E-3</v>
      </c>
      <c r="FN24" s="9">
        <v>-4.0000000000000001E-3</v>
      </c>
      <c r="FO24" s="9">
        <v>0</v>
      </c>
      <c r="FQ24" s="9">
        <v>7.0000000000000001E-3</v>
      </c>
      <c r="FR24" s="9">
        <v>3.0000000000000001E-3</v>
      </c>
      <c r="FS24" s="9">
        <v>-4.0000000000000001E-3</v>
      </c>
      <c r="FT24" s="9">
        <v>0</v>
      </c>
      <c r="FV24" s="9">
        <v>6.0000000000000001E-3</v>
      </c>
      <c r="FW24" s="9">
        <v>2E-3</v>
      </c>
      <c r="FX24" s="9">
        <v>-4.0000000000000001E-3</v>
      </c>
      <c r="FY24" s="9">
        <v>0</v>
      </c>
      <c r="GA24" s="9">
        <v>4.0000000000000001E-3</v>
      </c>
      <c r="GB24" s="9">
        <v>2E-3</v>
      </c>
      <c r="GC24" s="9">
        <v>-3.0000000000000001E-3</v>
      </c>
      <c r="GD24" s="9">
        <v>0</v>
      </c>
      <c r="GF24" s="9">
        <v>3.0000000000000001E-3</v>
      </c>
      <c r="GG24" s="9">
        <v>2E-3</v>
      </c>
      <c r="GH24" s="9">
        <v>-2E-3</v>
      </c>
      <c r="GI24" s="9">
        <v>0</v>
      </c>
      <c r="GK24" s="9">
        <v>3.0000000000000001E-3</v>
      </c>
      <c r="GL24" s="9">
        <v>2E-3</v>
      </c>
      <c r="GM24" s="9">
        <v>-2E-3</v>
      </c>
      <c r="GN24" s="9">
        <v>0</v>
      </c>
      <c r="GP24" s="9">
        <v>3.0000000000000001E-3</v>
      </c>
      <c r="GQ24" s="9">
        <v>2E-3</v>
      </c>
      <c r="GR24" s="9">
        <v>-2E-3</v>
      </c>
      <c r="GS24" s="9">
        <v>0</v>
      </c>
      <c r="GU24" s="9">
        <v>3.0000000000000001E-3</v>
      </c>
      <c r="GV24" s="9">
        <v>2E-3</v>
      </c>
      <c r="GW24" s="9">
        <v>-2E-3</v>
      </c>
      <c r="GX24" s="9">
        <v>0</v>
      </c>
      <c r="GZ24" s="9">
        <v>3.0000000000000001E-3</v>
      </c>
      <c r="HA24" s="9">
        <v>3.0000000000000001E-3</v>
      </c>
      <c r="HB24" s="9">
        <v>-2E-3</v>
      </c>
      <c r="HC24" s="9">
        <v>1E-3</v>
      </c>
      <c r="HE24" s="9">
        <v>4.0000000000000001E-3</v>
      </c>
      <c r="HF24" s="9">
        <v>4.0000000000000001E-3</v>
      </c>
      <c r="HG24" s="9">
        <v>-3.0000000000000001E-3</v>
      </c>
      <c r="HH24" s="9">
        <v>0</v>
      </c>
      <c r="HJ24" s="9">
        <v>5.0000000000000001E-3</v>
      </c>
      <c r="HK24" s="9">
        <v>6.0000000000000001E-3</v>
      </c>
      <c r="HL24" s="9">
        <v>-3.0000000000000001E-3</v>
      </c>
      <c r="HM24" s="9">
        <v>-1E-3</v>
      </c>
      <c r="HO24" s="9">
        <v>7.0000000000000001E-3</v>
      </c>
      <c r="HP24" s="9">
        <v>7.0000000000000001E-3</v>
      </c>
      <c r="HQ24" s="9">
        <v>-4.0000000000000001E-3</v>
      </c>
      <c r="HR24" s="9">
        <v>0</v>
      </c>
      <c r="HT24" s="9">
        <v>8.9999999999999993E-3</v>
      </c>
      <c r="HU24" s="9">
        <v>7.0000000000000001E-3</v>
      </c>
      <c r="HV24" s="9">
        <v>-5.0000000000000001E-3</v>
      </c>
      <c r="HW24" s="9">
        <v>-2E-3</v>
      </c>
      <c r="HY24" s="9">
        <v>8.9999999999999993E-3</v>
      </c>
    </row>
    <row r="25" spans="1:233" x14ac:dyDescent="0.35">
      <c r="A25" s="12" t="s">
        <v>294</v>
      </c>
      <c r="B25" s="12" t="s">
        <v>295</v>
      </c>
      <c r="C25" s="9">
        <v>8.0860000000000003</v>
      </c>
      <c r="D25" s="9">
        <v>0.86399999999999999</v>
      </c>
      <c r="F25" s="9">
        <v>0.40200000000000002</v>
      </c>
      <c r="H25" s="9">
        <v>9.3520000000000003</v>
      </c>
      <c r="I25" s="9">
        <v>0.89100000000000001</v>
      </c>
      <c r="K25" s="9">
        <v>0.71399999999999997</v>
      </c>
      <c r="M25" s="9">
        <v>10.957000000000001</v>
      </c>
      <c r="N25" s="9">
        <v>-0.47099999999999997</v>
      </c>
      <c r="P25" s="9">
        <v>1.802</v>
      </c>
      <c r="R25" s="9">
        <v>12.288</v>
      </c>
      <c r="S25" s="9">
        <v>-0.14000000000000001</v>
      </c>
      <c r="U25" s="9">
        <v>0.52</v>
      </c>
      <c r="W25" s="9">
        <v>12.667999999999999</v>
      </c>
      <c r="X25" s="9">
        <v>-0.71</v>
      </c>
      <c r="Z25" s="9">
        <v>0.97499999999999998</v>
      </c>
      <c r="AB25" s="9">
        <v>12.933</v>
      </c>
      <c r="AC25" s="9">
        <v>-0.20200000000000001</v>
      </c>
      <c r="AE25" s="9">
        <v>-4.2000000000000003E-2</v>
      </c>
      <c r="AG25" s="9">
        <v>12.688000000000001</v>
      </c>
      <c r="AH25" s="9">
        <v>-1.2549999999999999</v>
      </c>
      <c r="AJ25" s="9">
        <v>1.2430000000000001</v>
      </c>
      <c r="AL25" s="9">
        <v>12.676</v>
      </c>
      <c r="AM25" s="9">
        <v>-0.76800000000000002</v>
      </c>
      <c r="AO25" s="9">
        <v>0.125</v>
      </c>
      <c r="AQ25" s="9">
        <v>12.034000000000001</v>
      </c>
      <c r="AR25" s="9">
        <v>0.65500000000000003</v>
      </c>
      <c r="AT25" s="9">
        <v>-1.2</v>
      </c>
      <c r="AV25" s="9">
        <v>11.489000000000001</v>
      </c>
      <c r="AW25" s="9">
        <v>0.70899999999999996</v>
      </c>
      <c r="AY25" s="9">
        <v>-0.38800000000000001</v>
      </c>
      <c r="BA25" s="9">
        <v>11.81</v>
      </c>
      <c r="BB25" s="9">
        <v>0.79300000000000004</v>
      </c>
      <c r="BD25" s="9">
        <v>-0.14699999999999999</v>
      </c>
      <c r="BF25" s="9">
        <v>12.457000000000001</v>
      </c>
      <c r="BG25" s="9">
        <v>0.64200000000000002</v>
      </c>
      <c r="BI25" s="9">
        <v>-0.36799999999999999</v>
      </c>
      <c r="BK25" s="9">
        <v>12.731</v>
      </c>
      <c r="BL25" s="9">
        <v>0.34599999999999997</v>
      </c>
      <c r="BN25" s="9">
        <v>-0.25600000000000001</v>
      </c>
      <c r="BP25" s="9">
        <v>12.821</v>
      </c>
      <c r="BQ25" s="9">
        <v>-9.9000000000000005E-2</v>
      </c>
      <c r="BS25" s="9">
        <v>-2.5000000000000001E-2</v>
      </c>
      <c r="BU25" s="9">
        <v>12.698</v>
      </c>
      <c r="BV25" s="9">
        <v>-0.189</v>
      </c>
      <c r="BX25" s="9">
        <v>-0.246</v>
      </c>
      <c r="BZ25" s="9">
        <v>12.262</v>
      </c>
      <c r="CA25" s="9">
        <v>0.27500000000000002</v>
      </c>
      <c r="CC25" s="9">
        <v>-4.4999999999999998E-2</v>
      </c>
      <c r="CE25" s="9">
        <v>12.493</v>
      </c>
      <c r="CF25" s="9">
        <v>0.54100000000000004</v>
      </c>
      <c r="CH25" s="9">
        <v>0.52400000000000002</v>
      </c>
      <c r="CJ25" s="9">
        <v>13.558</v>
      </c>
      <c r="CK25" s="9">
        <v>0.317</v>
      </c>
      <c r="CM25" s="9">
        <v>-4.2999999999999997E-2</v>
      </c>
      <c r="CO25" s="9">
        <v>13.832000000000001</v>
      </c>
      <c r="CP25" s="9">
        <v>-4.3999999999999997E-2</v>
      </c>
      <c r="CR25" s="9">
        <v>0.34300000000000003</v>
      </c>
      <c r="CT25" s="9">
        <v>14.131</v>
      </c>
      <c r="CU25" s="9">
        <v>0.46300000000000002</v>
      </c>
      <c r="CW25" s="9">
        <v>-0.29199999999999998</v>
      </c>
      <c r="CY25" s="9">
        <v>14.302</v>
      </c>
      <c r="CZ25" s="9">
        <v>0.66500000000000004</v>
      </c>
      <c r="DB25" s="9">
        <v>0.495</v>
      </c>
      <c r="DC25" s="9">
        <v>-0.83699999999999997</v>
      </c>
      <c r="DD25" s="9">
        <v>14.624000000000001</v>
      </c>
      <c r="DE25" s="9">
        <v>0.50700000000000001</v>
      </c>
      <c r="DG25" s="9">
        <v>-0.90400000000000003</v>
      </c>
      <c r="DH25" s="9">
        <v>0</v>
      </c>
      <c r="DI25" s="9">
        <v>14.228</v>
      </c>
      <c r="DJ25" s="9">
        <v>1.194</v>
      </c>
      <c r="DL25" s="9">
        <v>-1.85</v>
      </c>
      <c r="DM25" s="9">
        <v>0</v>
      </c>
      <c r="DN25" s="9">
        <v>13.571999999999999</v>
      </c>
      <c r="DO25" s="9">
        <v>0.84599999999999997</v>
      </c>
      <c r="DQ25" s="9">
        <v>-1.2589999999999999</v>
      </c>
      <c r="DR25" s="9">
        <v>0</v>
      </c>
      <c r="DS25" s="9">
        <v>13.159000000000001</v>
      </c>
      <c r="DT25" s="9">
        <v>0.872</v>
      </c>
      <c r="DV25" s="9">
        <v>-1.3879999999999999</v>
      </c>
      <c r="DW25" s="9">
        <v>0</v>
      </c>
      <c r="DX25" s="9">
        <v>12.641999999999999</v>
      </c>
      <c r="DY25" s="9">
        <v>3.7570000000000001</v>
      </c>
      <c r="EA25" s="9">
        <v>-3.5449999999999999</v>
      </c>
      <c r="EB25" s="9">
        <v>0</v>
      </c>
      <c r="EC25" s="9">
        <v>12.853999999999999</v>
      </c>
      <c r="ED25" s="9">
        <v>0.376</v>
      </c>
      <c r="EF25" s="9">
        <v>2.5999999999999999E-2</v>
      </c>
      <c r="EG25" s="9">
        <v>0</v>
      </c>
      <c r="EH25" s="9">
        <v>13.257</v>
      </c>
      <c r="EI25" s="9">
        <v>0.55100000000000005</v>
      </c>
      <c r="EK25" s="9">
        <v>0.56899999999999995</v>
      </c>
      <c r="EL25" s="9">
        <v>0</v>
      </c>
      <c r="EM25" s="9">
        <v>14.375999999999999</v>
      </c>
      <c r="EN25" s="9">
        <v>0.65400000000000003</v>
      </c>
      <c r="EP25" s="9">
        <v>1.2090000000000001</v>
      </c>
      <c r="EQ25" s="9">
        <v>0</v>
      </c>
      <c r="ER25" s="9">
        <v>16.239000000000001</v>
      </c>
      <c r="ES25" s="9">
        <v>0.34200000000000003</v>
      </c>
      <c r="EU25" s="9">
        <v>-0.68</v>
      </c>
      <c r="EV25" s="9">
        <v>0</v>
      </c>
      <c r="EW25" s="9">
        <v>15.901</v>
      </c>
      <c r="EX25" s="9">
        <v>-0.27</v>
      </c>
      <c r="EZ25" s="9">
        <v>-2.02</v>
      </c>
      <c r="FA25" s="9">
        <v>-0.17299999999999999</v>
      </c>
      <c r="FB25" s="9">
        <v>13.436999999999999</v>
      </c>
      <c r="FC25" s="9">
        <v>1E-3</v>
      </c>
      <c r="FE25" s="9">
        <v>8.6999999999999994E-2</v>
      </c>
      <c r="FG25" s="9">
        <v>13.525</v>
      </c>
      <c r="FH25" s="9">
        <v>0.61799999999999999</v>
      </c>
      <c r="FJ25" s="9">
        <v>-1.038</v>
      </c>
      <c r="FL25" s="9">
        <v>13.105</v>
      </c>
      <c r="FM25" s="9">
        <v>-0.433</v>
      </c>
      <c r="FO25" s="9">
        <v>-6.3E-2</v>
      </c>
      <c r="FQ25" s="9">
        <v>12.609</v>
      </c>
      <c r="FR25" s="9">
        <v>-0.24199999999999999</v>
      </c>
      <c r="FT25" s="9">
        <v>0.877</v>
      </c>
      <c r="FV25" s="9">
        <v>13.244</v>
      </c>
      <c r="FW25" s="9">
        <v>7.3999999999999996E-2</v>
      </c>
      <c r="FY25" s="9">
        <v>1.1970000000000001</v>
      </c>
      <c r="GA25" s="9">
        <v>14.515000000000001</v>
      </c>
      <c r="GB25" s="9">
        <v>0.76400000000000001</v>
      </c>
      <c r="GD25" s="9">
        <v>-0.79800000000000004</v>
      </c>
      <c r="GF25" s="9">
        <v>14.481</v>
      </c>
      <c r="GG25" s="9">
        <v>0.32900000000000001</v>
      </c>
      <c r="GI25" s="9">
        <v>-0.77100000000000002</v>
      </c>
      <c r="GK25" s="9">
        <v>14.038</v>
      </c>
      <c r="GL25" s="9">
        <v>0.58099999999999996</v>
      </c>
      <c r="GN25" s="9">
        <v>-1.0760000000000001</v>
      </c>
      <c r="GP25" s="9">
        <v>13.542999999999999</v>
      </c>
      <c r="GQ25" s="9">
        <v>1.4790000000000001</v>
      </c>
      <c r="GS25" s="9">
        <v>-0.86199999999999999</v>
      </c>
      <c r="GU25" s="9">
        <v>14.16</v>
      </c>
      <c r="GV25" s="9">
        <v>0.41899999999999998</v>
      </c>
      <c r="GX25" s="9">
        <v>-1.2649999999999999</v>
      </c>
      <c r="GZ25" s="9">
        <v>13.314</v>
      </c>
      <c r="HA25" s="9">
        <v>0.47399999999999998</v>
      </c>
      <c r="HC25" s="9">
        <v>-1.113</v>
      </c>
      <c r="HE25" s="9">
        <v>12.675000000000001</v>
      </c>
      <c r="HF25" s="9">
        <v>1.327</v>
      </c>
      <c r="HH25" s="9">
        <v>0.94499999999999995</v>
      </c>
      <c r="HJ25" s="9">
        <v>14.946999999999999</v>
      </c>
      <c r="HK25" s="9">
        <v>2.1779999999999999</v>
      </c>
      <c r="HM25" s="9">
        <v>1.585</v>
      </c>
      <c r="HO25" s="9">
        <v>18.71</v>
      </c>
      <c r="HP25" s="9">
        <v>0.82799999999999996</v>
      </c>
      <c r="HR25" s="9">
        <v>-1.3919999999999999</v>
      </c>
      <c r="HT25" s="9">
        <v>18.146000000000001</v>
      </c>
      <c r="HU25" s="9">
        <v>0.315</v>
      </c>
      <c r="HW25" s="9">
        <v>-0.76</v>
      </c>
      <c r="HY25" s="9">
        <v>17.7</v>
      </c>
    </row>
    <row r="26" spans="1:233" x14ac:dyDescent="0.35">
      <c r="A26" s="12" t="s">
        <v>296</v>
      </c>
      <c r="B26" s="12" t="s">
        <v>297</v>
      </c>
      <c r="C26" s="9">
        <v>43.579000000000001</v>
      </c>
      <c r="D26" s="9">
        <v>0.28899999999999998</v>
      </c>
      <c r="F26" s="9">
        <v>5.9370000000000003</v>
      </c>
      <c r="H26" s="9">
        <v>49.805</v>
      </c>
      <c r="I26" s="9">
        <v>0.34399999999999997</v>
      </c>
      <c r="K26" s="9">
        <v>2.2320000000000002</v>
      </c>
      <c r="M26" s="9">
        <v>52.38</v>
      </c>
      <c r="N26" s="9">
        <v>0.377</v>
      </c>
      <c r="P26" s="9">
        <v>-2.7450000000000001</v>
      </c>
      <c r="R26" s="9">
        <v>50.012</v>
      </c>
      <c r="S26" s="9">
        <v>0.379</v>
      </c>
      <c r="U26" s="9">
        <v>5.4960000000000004</v>
      </c>
      <c r="W26" s="9">
        <v>55.887999999999998</v>
      </c>
      <c r="X26" s="9">
        <v>0.504</v>
      </c>
      <c r="Z26" s="9">
        <v>10.347</v>
      </c>
      <c r="AB26" s="9">
        <v>66.738</v>
      </c>
      <c r="AC26" s="9">
        <v>0.52300000000000002</v>
      </c>
      <c r="AE26" s="9">
        <v>-2.6360000000000001</v>
      </c>
      <c r="AG26" s="9">
        <v>64.626000000000005</v>
      </c>
      <c r="AH26" s="9">
        <v>0.56100000000000005</v>
      </c>
      <c r="AJ26" s="9">
        <v>-6.0410000000000004</v>
      </c>
      <c r="AL26" s="9">
        <v>59.145000000000003</v>
      </c>
      <c r="AM26" s="9">
        <v>0.58499999999999996</v>
      </c>
      <c r="AO26" s="9">
        <v>-0.29599999999999999</v>
      </c>
      <c r="AQ26" s="9">
        <v>59.435000000000002</v>
      </c>
      <c r="AR26" s="9">
        <v>0.59799999999999998</v>
      </c>
      <c r="AT26" s="9">
        <v>1.492</v>
      </c>
      <c r="AV26" s="9">
        <v>61.524999999999999</v>
      </c>
      <c r="AW26" s="9">
        <v>0.64800000000000002</v>
      </c>
      <c r="AY26" s="9">
        <v>-3.4020000000000001</v>
      </c>
      <c r="BA26" s="9">
        <v>58.771000000000001</v>
      </c>
      <c r="BB26" s="9">
        <v>0.752</v>
      </c>
      <c r="BD26" s="9">
        <v>-6.1769999999999996</v>
      </c>
      <c r="BF26" s="9">
        <v>53.345999999999997</v>
      </c>
      <c r="BG26" s="9">
        <v>0.82499999999999996</v>
      </c>
      <c r="BI26" s="9">
        <v>-4.9960000000000004</v>
      </c>
      <c r="BK26" s="9">
        <v>49.173999999999999</v>
      </c>
      <c r="BL26" s="9">
        <v>0.78</v>
      </c>
      <c r="BN26" s="9">
        <v>-3.6579999999999999</v>
      </c>
      <c r="BP26" s="9">
        <v>46.295999999999999</v>
      </c>
      <c r="BQ26" s="9">
        <v>0.69099999999999995</v>
      </c>
      <c r="BS26" s="9">
        <v>-2.1890000000000001</v>
      </c>
      <c r="BU26" s="9">
        <v>44.798000000000002</v>
      </c>
      <c r="BV26" s="9">
        <v>0.67500000000000004</v>
      </c>
      <c r="BX26" s="9">
        <v>0.84599999999999997</v>
      </c>
      <c r="BZ26" s="9">
        <v>46.319000000000003</v>
      </c>
      <c r="CA26" s="9">
        <v>0.67300000000000004</v>
      </c>
      <c r="CC26" s="9">
        <v>-1.7010000000000001</v>
      </c>
      <c r="CE26" s="9">
        <v>45.290999999999997</v>
      </c>
      <c r="CF26" s="9">
        <v>0.7</v>
      </c>
      <c r="CH26" s="9">
        <v>-1.0660000000000001</v>
      </c>
      <c r="CJ26" s="9">
        <v>44.924999999999997</v>
      </c>
      <c r="CK26" s="9">
        <v>0.68400000000000005</v>
      </c>
      <c r="CM26" s="9">
        <v>-0.22500000000000001</v>
      </c>
      <c r="CO26" s="9">
        <v>45.384</v>
      </c>
      <c r="CP26" s="9">
        <v>0.77400000000000002</v>
      </c>
      <c r="CR26" s="9">
        <v>-2.5960000000000001</v>
      </c>
      <c r="CT26" s="9">
        <v>43.561999999999998</v>
      </c>
      <c r="CU26" s="9">
        <v>0.876</v>
      </c>
      <c r="CW26" s="9">
        <v>0.61499999999999999</v>
      </c>
      <c r="CY26" s="9">
        <v>45.052</v>
      </c>
      <c r="CZ26" s="9">
        <v>0.98499999999999999</v>
      </c>
      <c r="DB26" s="9">
        <v>7.0380000000000003</v>
      </c>
      <c r="DD26" s="9">
        <v>53.075000000000003</v>
      </c>
      <c r="DE26" s="9">
        <v>1.022</v>
      </c>
      <c r="DG26" s="9">
        <v>8.8770000000000007</v>
      </c>
      <c r="DI26" s="9">
        <v>62.972999999999999</v>
      </c>
      <c r="DJ26" s="9">
        <v>1.0189999999999999</v>
      </c>
      <c r="DL26" s="9">
        <v>14.148999999999999</v>
      </c>
      <c r="DN26" s="9">
        <v>78.141000000000005</v>
      </c>
      <c r="DO26" s="9">
        <v>0.95199999999999996</v>
      </c>
      <c r="DQ26" s="9">
        <v>7.9489999999999998</v>
      </c>
      <c r="DS26" s="9">
        <v>87.042000000000002</v>
      </c>
      <c r="DT26" s="9">
        <v>0.71</v>
      </c>
      <c r="DV26" s="9">
        <v>0.34399999999999997</v>
      </c>
      <c r="DX26" s="9">
        <v>88.096000000000004</v>
      </c>
      <c r="DY26" s="9">
        <v>0.81899999999999995</v>
      </c>
      <c r="EA26" s="9">
        <v>6.6879999999999997</v>
      </c>
      <c r="EC26" s="9">
        <v>95.602999999999994</v>
      </c>
      <c r="ED26" s="9">
        <v>0.94699999999999995</v>
      </c>
      <c r="EF26" s="9">
        <v>13.818</v>
      </c>
      <c r="EH26" s="9">
        <v>110.36799999999999</v>
      </c>
      <c r="EI26" s="9">
        <v>1.008</v>
      </c>
      <c r="EK26" s="9">
        <v>9.7219999999999995</v>
      </c>
      <c r="EM26" s="9">
        <v>121.09699999999999</v>
      </c>
      <c r="EN26" s="9">
        <v>1.0329999999999999</v>
      </c>
      <c r="EP26" s="9">
        <v>-2.3580000000000001</v>
      </c>
      <c r="ER26" s="9">
        <v>119.77200000000001</v>
      </c>
      <c r="ES26" s="9">
        <v>0.91</v>
      </c>
      <c r="EU26" s="9">
        <v>-10.742000000000001</v>
      </c>
      <c r="EW26" s="9">
        <v>109.941</v>
      </c>
      <c r="EX26" s="9">
        <v>0.51400000000000001</v>
      </c>
      <c r="EZ26" s="9">
        <v>3.8860000000000001</v>
      </c>
      <c r="FB26" s="9">
        <v>114.34</v>
      </c>
      <c r="FC26" s="9">
        <v>0.67500000000000004</v>
      </c>
      <c r="FE26" s="9">
        <v>18.922000000000001</v>
      </c>
      <c r="FG26" s="9">
        <v>133.93700000000001</v>
      </c>
      <c r="FH26" s="9">
        <v>0.67</v>
      </c>
      <c r="FJ26" s="9">
        <v>4.62</v>
      </c>
      <c r="FL26" s="9">
        <v>139.227</v>
      </c>
      <c r="FM26" s="9">
        <v>0.71</v>
      </c>
      <c r="FO26" s="9">
        <v>-4.8730000000000002</v>
      </c>
      <c r="FQ26" s="9">
        <v>135.065</v>
      </c>
      <c r="FR26" s="9">
        <v>0.65200000000000002</v>
      </c>
      <c r="FT26" s="9">
        <v>-2.7909999999999999</v>
      </c>
      <c r="FV26" s="9">
        <v>132.92599999999999</v>
      </c>
      <c r="FW26" s="9">
        <v>0.58099999999999996</v>
      </c>
      <c r="FY26" s="9">
        <v>0.498</v>
      </c>
      <c r="GA26" s="9">
        <v>134.00399999999999</v>
      </c>
      <c r="GB26" s="9">
        <v>0.61099999999999999</v>
      </c>
      <c r="GD26" s="9">
        <v>-2.3650000000000002</v>
      </c>
      <c r="GF26" s="9">
        <v>132.25</v>
      </c>
      <c r="GG26" s="9">
        <v>0.63500000000000001</v>
      </c>
      <c r="GI26" s="9">
        <v>1.38</v>
      </c>
      <c r="GK26" s="9">
        <v>134.26499999999999</v>
      </c>
      <c r="GL26" s="9">
        <v>0.65</v>
      </c>
      <c r="GN26" s="9">
        <v>7.96</v>
      </c>
      <c r="GP26" s="9">
        <v>142.875</v>
      </c>
      <c r="GQ26" s="9">
        <v>0.70099999999999996</v>
      </c>
      <c r="GS26" s="9">
        <v>-0.48899999999999999</v>
      </c>
      <c r="GU26" s="9">
        <v>143.08600000000001</v>
      </c>
      <c r="GV26" s="9">
        <v>0.80400000000000005</v>
      </c>
      <c r="GX26" s="9">
        <v>-2.403</v>
      </c>
      <c r="GZ26" s="9">
        <v>141.48699999999999</v>
      </c>
      <c r="HA26" s="9">
        <v>0.66600000000000004</v>
      </c>
      <c r="HC26" s="9">
        <v>10.364000000000001</v>
      </c>
      <c r="HE26" s="9">
        <v>152.517</v>
      </c>
      <c r="HF26" s="9">
        <v>0.85</v>
      </c>
      <c r="HH26" s="9">
        <v>32.673999999999999</v>
      </c>
      <c r="HJ26" s="9">
        <v>186.041</v>
      </c>
      <c r="HK26" s="9">
        <v>1.087</v>
      </c>
      <c r="HM26" s="9">
        <v>18.047000000000001</v>
      </c>
      <c r="HO26" s="9">
        <v>205.17400000000001</v>
      </c>
      <c r="HP26" s="9">
        <v>1.238</v>
      </c>
      <c r="HR26" s="9">
        <v>-5.218</v>
      </c>
      <c r="HT26" s="9">
        <v>201.19399999999999</v>
      </c>
      <c r="HU26" s="9">
        <v>1.2470000000000001</v>
      </c>
      <c r="HW26" s="9">
        <v>-0.92700000000000005</v>
      </c>
      <c r="HY26" s="9">
        <v>201.51400000000001</v>
      </c>
    </row>
    <row r="27" spans="1:233" x14ac:dyDescent="0.35">
      <c r="A27" s="12" t="s">
        <v>298</v>
      </c>
      <c r="B27" s="12" t="s">
        <v>299</v>
      </c>
      <c r="C27" s="9">
        <v>292.24700000000001</v>
      </c>
      <c r="D27" s="9">
        <v>-0.44500000000000001</v>
      </c>
      <c r="F27" s="9">
        <v>29.815000000000001</v>
      </c>
      <c r="G27" s="9">
        <v>6.5090000000000003</v>
      </c>
      <c r="H27" s="9">
        <v>328.12700000000001</v>
      </c>
      <c r="I27" s="9">
        <v>-0.49199999999999999</v>
      </c>
      <c r="K27" s="9">
        <v>27.023</v>
      </c>
      <c r="L27" s="9">
        <v>6.8659999999999997</v>
      </c>
      <c r="M27" s="9">
        <v>361.52300000000002</v>
      </c>
      <c r="N27" s="9">
        <v>-0.49099999999999999</v>
      </c>
      <c r="P27" s="9">
        <v>30.809000000000001</v>
      </c>
      <c r="Q27" s="9">
        <v>5.032</v>
      </c>
      <c r="R27" s="9">
        <v>396.87400000000002</v>
      </c>
      <c r="S27" s="9">
        <v>-0.51</v>
      </c>
      <c r="U27" s="9">
        <v>14.727</v>
      </c>
      <c r="V27" s="9">
        <v>3.0720000000000001</v>
      </c>
      <c r="W27" s="9">
        <v>414.16399999999999</v>
      </c>
      <c r="X27" s="9">
        <v>-0.52400000000000002</v>
      </c>
      <c r="Z27" s="9">
        <v>25.358000000000001</v>
      </c>
      <c r="AA27" s="9">
        <v>6.8</v>
      </c>
      <c r="AB27" s="9">
        <v>445.798</v>
      </c>
      <c r="AC27" s="9">
        <v>-0.56899999999999995</v>
      </c>
      <c r="AE27" s="9">
        <v>-5.5860000000000003</v>
      </c>
      <c r="AF27" s="9">
        <v>5.9370000000000003</v>
      </c>
      <c r="AG27" s="9">
        <v>445.58</v>
      </c>
      <c r="AH27" s="9">
        <v>-0.45300000000000001</v>
      </c>
      <c r="AJ27" s="9">
        <v>13.102</v>
      </c>
      <c r="AK27" s="9">
        <v>0.22900000000000001</v>
      </c>
      <c r="AL27" s="9">
        <v>458.45800000000003</v>
      </c>
      <c r="AM27" s="9">
        <v>-0.46200000000000002</v>
      </c>
      <c r="AO27" s="9">
        <v>28.88</v>
      </c>
      <c r="AP27" s="9">
        <v>0.38100000000000001</v>
      </c>
      <c r="AQ27" s="9">
        <v>487.25599999999997</v>
      </c>
      <c r="AR27" s="9">
        <v>-0.47</v>
      </c>
      <c r="AT27" s="9">
        <v>36.106000000000002</v>
      </c>
      <c r="AU27" s="9">
        <v>-8.8640000000000008</v>
      </c>
      <c r="AV27" s="9">
        <v>514.029</v>
      </c>
      <c r="AW27" s="9">
        <v>-0.57699999999999996</v>
      </c>
      <c r="AY27" s="9">
        <v>65.412999999999997</v>
      </c>
      <c r="AZ27" s="9">
        <v>-1.8620000000000001</v>
      </c>
      <c r="BA27" s="9">
        <v>577.00199999999995</v>
      </c>
      <c r="BB27" s="9">
        <v>-0.998</v>
      </c>
      <c r="BD27" s="9">
        <v>82.814999999999998</v>
      </c>
      <c r="BE27" s="9">
        <v>4.0780000000000003</v>
      </c>
      <c r="BF27" s="9">
        <v>662.89800000000002</v>
      </c>
      <c r="BG27" s="9">
        <v>-1.0129999999999999</v>
      </c>
      <c r="BI27" s="9">
        <v>46.375</v>
      </c>
      <c r="BJ27" s="9">
        <v>14.952</v>
      </c>
      <c r="BK27" s="9">
        <v>723.21199999999999</v>
      </c>
      <c r="BL27" s="9">
        <v>-1.127</v>
      </c>
      <c r="BN27" s="9">
        <v>-37.354999999999997</v>
      </c>
      <c r="BO27" s="9">
        <v>2.0880000000000001</v>
      </c>
      <c r="BP27" s="9">
        <v>686.81799999999998</v>
      </c>
      <c r="BQ27" s="9">
        <v>-0.90600000000000003</v>
      </c>
      <c r="BS27" s="9">
        <v>-71.165000000000006</v>
      </c>
      <c r="BT27" s="9">
        <v>0.80500000000000005</v>
      </c>
      <c r="BU27" s="9">
        <v>615.55200000000002</v>
      </c>
      <c r="BV27" s="9">
        <v>-0.76800000000000002</v>
      </c>
      <c r="BX27" s="9">
        <v>-44.765999999999998</v>
      </c>
      <c r="BY27" s="9">
        <v>2.68</v>
      </c>
      <c r="BZ27" s="9">
        <v>572.69899999999996</v>
      </c>
      <c r="CA27" s="9">
        <v>-0.47499999999999998</v>
      </c>
      <c r="CC27" s="9">
        <v>13.57</v>
      </c>
      <c r="CD27" s="9">
        <v>3.5870000000000002</v>
      </c>
      <c r="CE27" s="9">
        <v>589.38099999999997</v>
      </c>
      <c r="CF27" s="9">
        <v>-1.008</v>
      </c>
      <c r="CH27" s="9">
        <v>-55.999000000000002</v>
      </c>
      <c r="CI27" s="9">
        <v>3.403</v>
      </c>
      <c r="CJ27" s="9">
        <v>535.77800000000002</v>
      </c>
      <c r="CK27" s="9">
        <v>-0.76800000000000002</v>
      </c>
      <c r="CM27" s="9">
        <v>-12.166</v>
      </c>
      <c r="CN27" s="9">
        <v>3.3380000000000001</v>
      </c>
      <c r="CO27" s="9">
        <v>526.18299999999999</v>
      </c>
      <c r="CP27" s="9">
        <v>-1.6890000000000001</v>
      </c>
      <c r="CR27" s="9">
        <v>-12.413</v>
      </c>
      <c r="CS27" s="9">
        <v>0.98599999999999999</v>
      </c>
      <c r="CT27" s="9">
        <v>513.06700000000001</v>
      </c>
      <c r="CU27" s="9">
        <v>-1.6539999999999999</v>
      </c>
      <c r="CW27" s="9">
        <v>78.364000000000004</v>
      </c>
      <c r="CX27" s="9">
        <v>3.2429999999999999</v>
      </c>
      <c r="CY27" s="9">
        <v>593.02</v>
      </c>
      <c r="CZ27" s="9">
        <v>-1.641</v>
      </c>
      <c r="DB27" s="9">
        <v>187.745</v>
      </c>
      <c r="DC27" s="9">
        <v>5.0490000000000004</v>
      </c>
      <c r="DD27" s="9">
        <v>784.173</v>
      </c>
      <c r="DE27" s="9">
        <v>-2.6760000000000002</v>
      </c>
      <c r="DG27" s="9">
        <v>178.15199999999999</v>
      </c>
      <c r="DH27" s="9">
        <v>10.394</v>
      </c>
      <c r="DI27" s="9">
        <v>970.04300000000001</v>
      </c>
      <c r="DJ27" s="9">
        <v>-1.8120000000000001</v>
      </c>
      <c r="DL27" s="9">
        <v>163.47999999999999</v>
      </c>
      <c r="DM27" s="9">
        <v>14.173999999999999</v>
      </c>
      <c r="DN27" s="9">
        <v>1145.885</v>
      </c>
      <c r="DO27" s="9">
        <v>-2.1760000000000002</v>
      </c>
      <c r="DQ27" s="9">
        <v>284.45999999999998</v>
      </c>
      <c r="DR27" s="9">
        <v>18.936</v>
      </c>
      <c r="DS27" s="9">
        <v>1447.105</v>
      </c>
      <c r="DT27" s="9">
        <v>-2.125</v>
      </c>
      <c r="DV27" s="9">
        <v>407.23099999999999</v>
      </c>
      <c r="DW27" s="9">
        <v>18.898</v>
      </c>
      <c r="DX27" s="9">
        <v>1871.1079999999999</v>
      </c>
      <c r="DY27" s="9">
        <v>-2.58</v>
      </c>
      <c r="EA27" s="9">
        <v>548.31700000000001</v>
      </c>
      <c r="EB27" s="9">
        <v>30.21</v>
      </c>
      <c r="EC27" s="9">
        <v>2447.0549999999998</v>
      </c>
      <c r="ED27" s="9">
        <v>-2.8849999999999998</v>
      </c>
      <c r="EF27" s="9">
        <v>612.52</v>
      </c>
      <c r="EG27" s="9">
        <v>32.863</v>
      </c>
      <c r="EH27" s="9">
        <v>3089.5540000000001</v>
      </c>
      <c r="EI27" s="9">
        <v>-3.419</v>
      </c>
      <c r="EK27" s="9">
        <v>426.88</v>
      </c>
      <c r="EL27" s="9">
        <v>33.488999999999997</v>
      </c>
      <c r="EM27" s="9">
        <v>3546.5030000000002</v>
      </c>
      <c r="EN27" s="9">
        <v>-3.9929999999999999</v>
      </c>
      <c r="EP27" s="9">
        <v>172.80799999999999</v>
      </c>
      <c r="EQ27" s="9">
        <v>93.927999999999997</v>
      </c>
      <c r="ER27" s="9">
        <v>3809.2460000000001</v>
      </c>
      <c r="ES27" s="9">
        <v>-2.903</v>
      </c>
      <c r="EU27" s="9">
        <v>-438.68900000000002</v>
      </c>
      <c r="EV27" s="9">
        <v>37.753</v>
      </c>
      <c r="EW27" s="9">
        <v>3405.4059999999999</v>
      </c>
      <c r="EX27" s="9">
        <v>-3.5609999999999999</v>
      </c>
      <c r="EZ27" s="9">
        <v>-104.76</v>
      </c>
      <c r="FA27" s="9">
        <v>-17.952999999999999</v>
      </c>
      <c r="FB27" s="9">
        <v>3279.1309999999999</v>
      </c>
      <c r="FC27" s="9">
        <v>-3.153</v>
      </c>
      <c r="FE27" s="9">
        <v>427.37099999999998</v>
      </c>
      <c r="FF27" s="9">
        <v>8.1690000000000005</v>
      </c>
      <c r="FG27" s="9">
        <v>3711.518</v>
      </c>
      <c r="FH27" s="9">
        <v>-3.883</v>
      </c>
      <c r="FJ27" s="9">
        <v>113.49299999999999</v>
      </c>
      <c r="FK27" s="9">
        <v>39.609000000000002</v>
      </c>
      <c r="FL27" s="9">
        <v>3860.7359999999999</v>
      </c>
      <c r="FM27" s="9">
        <v>-3.9510000000000001</v>
      </c>
      <c r="FO27" s="9">
        <v>-168.971</v>
      </c>
      <c r="FP27" s="9">
        <v>41.396999999999998</v>
      </c>
      <c r="FQ27" s="9">
        <v>3729.2109999999998</v>
      </c>
      <c r="FR27" s="9">
        <v>-3.4089999999999998</v>
      </c>
      <c r="FT27" s="9">
        <v>-176.30500000000001</v>
      </c>
      <c r="FU27" s="9">
        <v>55.48</v>
      </c>
      <c r="FV27" s="9">
        <v>3604.9760000000001</v>
      </c>
      <c r="FW27" s="9">
        <v>-3.665</v>
      </c>
      <c r="FY27" s="9">
        <v>-185.87299999999999</v>
      </c>
      <c r="FZ27" s="9">
        <v>37.631999999999998</v>
      </c>
      <c r="GA27" s="9">
        <v>3453.0709999999999</v>
      </c>
      <c r="GB27" s="9">
        <v>-3.3439999999999999</v>
      </c>
      <c r="GD27" s="9">
        <v>-15.382999999999999</v>
      </c>
      <c r="GE27" s="9">
        <v>36.213999999999999</v>
      </c>
      <c r="GF27" s="9">
        <v>3470.5590000000002</v>
      </c>
      <c r="GG27" s="9">
        <v>-3.1619999999999999</v>
      </c>
      <c r="GI27" s="9">
        <v>109.977</v>
      </c>
      <c r="GJ27" s="9">
        <v>35.243000000000002</v>
      </c>
      <c r="GK27" s="9">
        <v>3612.616</v>
      </c>
      <c r="GL27" s="9">
        <v>-3.4609999999999999</v>
      </c>
      <c r="GN27" s="9">
        <v>154.863</v>
      </c>
      <c r="GO27" s="9">
        <v>51.033999999999999</v>
      </c>
      <c r="GP27" s="9">
        <v>3815.0529999999999</v>
      </c>
      <c r="GQ27" s="9">
        <v>-3.4609999999999999</v>
      </c>
      <c r="GS27" s="9">
        <v>159.625</v>
      </c>
      <c r="GT27" s="9">
        <v>53.104999999999997</v>
      </c>
      <c r="GU27" s="9">
        <v>4024.3220000000001</v>
      </c>
      <c r="GV27" s="9">
        <v>-3.7210000000000001</v>
      </c>
      <c r="GX27" s="9">
        <v>231.94399999999999</v>
      </c>
      <c r="GY27" s="9">
        <v>76.795000000000002</v>
      </c>
      <c r="GZ27" s="9">
        <v>4329.34</v>
      </c>
      <c r="HA27" s="9">
        <v>-2.847</v>
      </c>
      <c r="HC27" s="9">
        <v>315.19299999999998</v>
      </c>
      <c r="HD27" s="9">
        <v>72.781999999999996</v>
      </c>
      <c r="HE27" s="9">
        <v>4714.4690000000001</v>
      </c>
      <c r="HF27" s="9">
        <v>-3.0640000000000001</v>
      </c>
      <c r="HH27" s="9">
        <v>240.447</v>
      </c>
      <c r="HI27" s="9">
        <v>82.941000000000003</v>
      </c>
      <c r="HJ27" s="9">
        <v>5034.7920000000004</v>
      </c>
      <c r="HK27" s="9">
        <v>-2.823</v>
      </c>
      <c r="HM27" s="9">
        <v>48.634</v>
      </c>
      <c r="HN27" s="9">
        <v>87.293999999999997</v>
      </c>
      <c r="HO27" s="9">
        <v>5167.8980000000001</v>
      </c>
      <c r="HP27" s="9">
        <v>-3.492</v>
      </c>
      <c r="HR27" s="9">
        <v>-510.113</v>
      </c>
      <c r="HS27" s="9">
        <v>71.132999999999996</v>
      </c>
      <c r="HT27" s="9">
        <v>4725.4260000000004</v>
      </c>
      <c r="HU27" s="9">
        <v>-3.9940000000000002</v>
      </c>
      <c r="HW27" s="9">
        <v>-193.72</v>
      </c>
      <c r="HX27" s="9">
        <v>78.248999999999995</v>
      </c>
      <c r="HY27" s="9">
        <v>4605.9610000000002</v>
      </c>
    </row>
    <row r="28" spans="1:233" x14ac:dyDescent="0.35">
      <c r="A28" s="12" t="s">
        <v>300</v>
      </c>
      <c r="B28" s="12" t="s">
        <v>301</v>
      </c>
      <c r="C28" s="9">
        <v>279.18299999999999</v>
      </c>
      <c r="D28" s="9">
        <v>-0.44500000000000001</v>
      </c>
      <c r="F28" s="9">
        <v>29.815000000000001</v>
      </c>
      <c r="G28" s="9">
        <v>4.9960000000000004</v>
      </c>
      <c r="H28" s="9">
        <v>313.54899999999998</v>
      </c>
      <c r="I28" s="9">
        <v>-0.49199999999999999</v>
      </c>
      <c r="K28" s="9">
        <v>27.023</v>
      </c>
      <c r="L28" s="9">
        <v>5.2839999999999998</v>
      </c>
      <c r="M28" s="9">
        <v>345.36399999999998</v>
      </c>
      <c r="N28" s="9">
        <v>-0.49099999999999999</v>
      </c>
      <c r="P28" s="9">
        <v>30.809000000000001</v>
      </c>
      <c r="Q28" s="9">
        <v>3.512</v>
      </c>
      <c r="R28" s="9">
        <v>379.19499999999999</v>
      </c>
      <c r="S28" s="9">
        <v>-0.51</v>
      </c>
      <c r="U28" s="9">
        <v>14.727</v>
      </c>
      <c r="V28" s="9">
        <v>1.694</v>
      </c>
      <c r="W28" s="9">
        <v>395.10700000000003</v>
      </c>
      <c r="X28" s="9">
        <v>-0.52400000000000002</v>
      </c>
      <c r="Z28" s="9">
        <v>25.358000000000001</v>
      </c>
      <c r="AA28" s="9">
        <v>5.62</v>
      </c>
      <c r="AB28" s="9">
        <v>425.56099999999998</v>
      </c>
      <c r="AC28" s="9">
        <v>-0.56899999999999995</v>
      </c>
      <c r="AE28" s="9">
        <v>-5.5860000000000003</v>
      </c>
      <c r="AF28" s="9">
        <v>5.0570000000000004</v>
      </c>
      <c r="AG28" s="9">
        <v>424.46300000000002</v>
      </c>
      <c r="AH28" s="9">
        <v>-0.45300000000000001</v>
      </c>
      <c r="AJ28" s="9">
        <v>13.102</v>
      </c>
      <c r="AK28" s="9">
        <v>-0.41099999999999998</v>
      </c>
      <c r="AL28" s="9">
        <v>436.702</v>
      </c>
      <c r="AM28" s="9">
        <v>-0.46200000000000002</v>
      </c>
      <c r="AO28" s="9">
        <v>28.88</v>
      </c>
      <c r="AP28" s="9">
        <v>-7.6999999999999999E-2</v>
      </c>
      <c r="AQ28" s="9">
        <v>465.04300000000001</v>
      </c>
      <c r="AR28" s="9">
        <v>-0.47</v>
      </c>
      <c r="AT28" s="9">
        <v>36.106000000000002</v>
      </c>
      <c r="AU28" s="9">
        <v>-9.2789999999999999</v>
      </c>
      <c r="AV28" s="9">
        <v>491.4</v>
      </c>
      <c r="AW28" s="9">
        <v>-0.57699999999999996</v>
      </c>
      <c r="AY28" s="9">
        <v>65.412999999999997</v>
      </c>
      <c r="AZ28" s="9">
        <v>-2.8119999999999998</v>
      </c>
      <c r="BA28" s="9">
        <v>553.42399999999998</v>
      </c>
      <c r="BB28" s="9">
        <v>-0.998</v>
      </c>
      <c r="BD28" s="9">
        <v>82.814999999999998</v>
      </c>
      <c r="BE28" s="9">
        <v>2.726</v>
      </c>
      <c r="BF28" s="9">
        <v>637.96699999999998</v>
      </c>
      <c r="BG28" s="9">
        <v>-1.0129999999999999</v>
      </c>
      <c r="BI28" s="9">
        <v>46.375</v>
      </c>
      <c r="BJ28" s="9">
        <v>14.414</v>
      </c>
      <c r="BK28" s="9">
        <v>697.74400000000003</v>
      </c>
      <c r="BL28" s="9">
        <v>-1.127</v>
      </c>
      <c r="BN28" s="9">
        <v>-37.354999999999997</v>
      </c>
      <c r="BO28" s="9">
        <v>2.476</v>
      </c>
      <c r="BP28" s="9">
        <v>661.73800000000006</v>
      </c>
      <c r="BQ28" s="9">
        <v>-0.90600000000000003</v>
      </c>
      <c r="BS28" s="9">
        <v>-71.165000000000006</v>
      </c>
      <c r="BT28" s="9">
        <v>1.484</v>
      </c>
      <c r="BU28" s="9">
        <v>591.15099999999995</v>
      </c>
      <c r="BV28" s="9">
        <v>-0.76800000000000002</v>
      </c>
      <c r="BX28" s="9">
        <v>-44.765999999999998</v>
      </c>
      <c r="BY28" s="9">
        <v>3.198</v>
      </c>
      <c r="BZ28" s="9">
        <v>548.81500000000005</v>
      </c>
      <c r="CA28" s="9">
        <v>-0.47499999999999998</v>
      </c>
      <c r="CC28" s="9">
        <v>13.57</v>
      </c>
      <c r="CD28" s="9">
        <v>3.4340000000000002</v>
      </c>
      <c r="CE28" s="9">
        <v>565.34500000000003</v>
      </c>
      <c r="CF28" s="9">
        <v>-1.008</v>
      </c>
      <c r="CH28" s="9">
        <v>-55.999000000000002</v>
      </c>
      <c r="CI28" s="9">
        <v>2.9460000000000002</v>
      </c>
      <c r="CJ28" s="9">
        <v>511.28399999999999</v>
      </c>
      <c r="CK28" s="9">
        <v>-0.76800000000000002</v>
      </c>
      <c r="CM28" s="9">
        <v>-12.166</v>
      </c>
      <c r="CN28" s="9">
        <v>2.9950000000000001</v>
      </c>
      <c r="CO28" s="9">
        <v>501.346</v>
      </c>
      <c r="CP28" s="9">
        <v>-1.6890000000000001</v>
      </c>
      <c r="CR28" s="9">
        <v>-12.413</v>
      </c>
      <c r="CS28" s="9">
        <v>0.63500000000000001</v>
      </c>
      <c r="CT28" s="9">
        <v>487.87799999999999</v>
      </c>
      <c r="CU28" s="9">
        <v>-1.6539999999999999</v>
      </c>
      <c r="CW28" s="9">
        <v>78.364000000000004</v>
      </c>
      <c r="CX28" s="9">
        <v>2.8220000000000001</v>
      </c>
      <c r="CY28" s="9">
        <v>567.41099999999994</v>
      </c>
      <c r="CZ28" s="9">
        <v>-1.641</v>
      </c>
      <c r="DB28" s="9">
        <v>187.745</v>
      </c>
      <c r="DC28" s="9">
        <v>4.5350000000000001</v>
      </c>
      <c r="DD28" s="9">
        <v>758.05</v>
      </c>
      <c r="DE28" s="9">
        <v>-2.6760000000000002</v>
      </c>
      <c r="DG28" s="9">
        <v>178.15199999999999</v>
      </c>
      <c r="DH28" s="9">
        <v>9.82</v>
      </c>
      <c r="DI28" s="9">
        <v>943.34500000000003</v>
      </c>
      <c r="DJ28" s="9">
        <v>-1.8120000000000001</v>
      </c>
      <c r="DL28" s="9">
        <v>163.47999999999999</v>
      </c>
      <c r="DM28" s="9">
        <v>13.567</v>
      </c>
      <c r="DN28" s="9">
        <v>1118.58</v>
      </c>
      <c r="DO28" s="9">
        <v>-2.1760000000000002</v>
      </c>
      <c r="DQ28" s="9">
        <v>284.45999999999998</v>
      </c>
      <c r="DR28" s="9">
        <v>17.620999999999999</v>
      </c>
      <c r="DS28" s="9">
        <v>1418.4849999999999</v>
      </c>
      <c r="DT28" s="9">
        <v>-2.125</v>
      </c>
      <c r="DV28" s="9">
        <v>407.23099999999999</v>
      </c>
      <c r="DW28" s="9">
        <v>18.12</v>
      </c>
      <c r="DX28" s="9">
        <v>1841.711</v>
      </c>
      <c r="DY28" s="9">
        <v>-2.58</v>
      </c>
      <c r="EA28" s="9">
        <v>548.31700000000001</v>
      </c>
      <c r="EB28" s="9">
        <v>28.597000000000001</v>
      </c>
      <c r="EC28" s="9">
        <v>2416.0450000000001</v>
      </c>
      <c r="ED28" s="9">
        <v>-2.8849999999999998</v>
      </c>
      <c r="EF28" s="9">
        <v>612.52</v>
      </c>
      <c r="EG28" s="9">
        <v>33.436</v>
      </c>
      <c r="EH28" s="9">
        <v>3059.116</v>
      </c>
      <c r="EI28" s="9">
        <v>-3.419</v>
      </c>
      <c r="EK28" s="9">
        <v>426.88</v>
      </c>
      <c r="EL28" s="9">
        <v>43.404000000000003</v>
      </c>
      <c r="EM28" s="9">
        <v>3525.9810000000002</v>
      </c>
      <c r="EN28" s="9">
        <v>-3.9929999999999999</v>
      </c>
      <c r="EP28" s="9">
        <v>172.80799999999999</v>
      </c>
      <c r="EQ28" s="9">
        <v>93.917000000000002</v>
      </c>
      <c r="ER28" s="9">
        <v>3788.7130000000002</v>
      </c>
      <c r="ES28" s="9">
        <v>-2.903</v>
      </c>
      <c r="EU28" s="9">
        <v>-438.68900000000002</v>
      </c>
      <c r="EV28" s="9">
        <v>39.267000000000003</v>
      </c>
      <c r="EW28" s="9">
        <v>3386.3879999999999</v>
      </c>
      <c r="EX28" s="9">
        <v>-3.5609999999999999</v>
      </c>
      <c r="EZ28" s="9">
        <v>-104.76</v>
      </c>
      <c r="FA28" s="9">
        <v>-16.564</v>
      </c>
      <c r="FB28" s="9">
        <v>3261.502</v>
      </c>
      <c r="FC28" s="9">
        <v>-3.153</v>
      </c>
      <c r="FE28" s="9">
        <v>427.37099999999998</v>
      </c>
      <c r="FF28" s="9">
        <v>9.4350000000000005</v>
      </c>
      <c r="FG28" s="9">
        <v>3695.1550000000002</v>
      </c>
      <c r="FH28" s="9">
        <v>-3.883</v>
      </c>
      <c r="FJ28" s="9">
        <v>113.49299999999999</v>
      </c>
      <c r="FK28" s="9">
        <v>40.773000000000003</v>
      </c>
      <c r="FL28" s="9">
        <v>3845.538</v>
      </c>
      <c r="FM28" s="9">
        <v>-3.9510000000000001</v>
      </c>
      <c r="FO28" s="9">
        <v>-168.971</v>
      </c>
      <c r="FP28" s="9">
        <v>41.688000000000002</v>
      </c>
      <c r="FQ28" s="9">
        <v>3714.3029999999999</v>
      </c>
      <c r="FR28" s="9">
        <v>-3.4089999999999998</v>
      </c>
      <c r="FT28" s="9">
        <v>-176.30500000000001</v>
      </c>
      <c r="FU28" s="9">
        <v>55.761000000000003</v>
      </c>
      <c r="FV28" s="9">
        <v>3590.3490000000002</v>
      </c>
      <c r="FW28" s="9">
        <v>-3.665</v>
      </c>
      <c r="FY28" s="9">
        <v>-185.87299999999999</v>
      </c>
      <c r="FZ28" s="9">
        <v>37.350999999999999</v>
      </c>
      <c r="GA28" s="9">
        <v>3438.163</v>
      </c>
      <c r="GB28" s="9">
        <v>-3.3439999999999999</v>
      </c>
      <c r="GD28" s="9">
        <v>-15.382999999999999</v>
      </c>
      <c r="GE28" s="9">
        <v>37.191000000000003</v>
      </c>
      <c r="GF28" s="9">
        <v>3456.6280000000002</v>
      </c>
      <c r="GG28" s="9">
        <v>-3.1619999999999999</v>
      </c>
      <c r="GI28" s="9">
        <v>109.977</v>
      </c>
      <c r="GJ28" s="9">
        <v>35.826999999999998</v>
      </c>
      <c r="GK28" s="9">
        <v>3599.27</v>
      </c>
      <c r="GL28" s="9">
        <v>-3.4609999999999999</v>
      </c>
      <c r="GN28" s="9">
        <v>154.863</v>
      </c>
      <c r="GO28" s="9">
        <v>51.585999999999999</v>
      </c>
      <c r="GP28" s="9">
        <v>3802.2579999999998</v>
      </c>
      <c r="GQ28" s="9">
        <v>-3.4609999999999999</v>
      </c>
      <c r="GS28" s="9">
        <v>159.625</v>
      </c>
      <c r="GT28" s="9">
        <v>53.814999999999998</v>
      </c>
      <c r="GU28" s="9">
        <v>4012.2370000000001</v>
      </c>
      <c r="GV28" s="9">
        <v>-3.7210000000000001</v>
      </c>
      <c r="GX28" s="9">
        <v>231.94399999999999</v>
      </c>
      <c r="GY28" s="9">
        <v>77.185000000000002</v>
      </c>
      <c r="GZ28" s="9">
        <v>4317.6450000000004</v>
      </c>
      <c r="HA28" s="9">
        <v>-2.847</v>
      </c>
      <c r="HC28" s="9">
        <v>315.19299999999998</v>
      </c>
      <c r="HD28" s="9">
        <v>73.212000000000003</v>
      </c>
      <c r="HE28" s="9">
        <v>4703.2030000000004</v>
      </c>
      <c r="HF28" s="9">
        <v>-3.0640000000000001</v>
      </c>
      <c r="HH28" s="9">
        <v>240.447</v>
      </c>
      <c r="HI28" s="9">
        <v>83.162000000000006</v>
      </c>
      <c r="HJ28" s="9">
        <v>5023.7479999999996</v>
      </c>
      <c r="HK28" s="9">
        <v>-2.823</v>
      </c>
      <c r="HM28" s="9">
        <v>48.634</v>
      </c>
      <c r="HN28" s="9">
        <v>87.71</v>
      </c>
      <c r="HO28" s="9">
        <v>5157.2690000000002</v>
      </c>
      <c r="HP28" s="9">
        <v>-3.492</v>
      </c>
      <c r="HR28" s="9">
        <v>-510.113</v>
      </c>
      <c r="HS28" s="9">
        <v>71.478999999999999</v>
      </c>
      <c r="HT28" s="9">
        <v>4715.143</v>
      </c>
      <c r="HU28" s="9">
        <v>-3.9940000000000002</v>
      </c>
      <c r="HW28" s="9">
        <v>-193.72</v>
      </c>
      <c r="HX28" s="9">
        <v>78.582999999999998</v>
      </c>
      <c r="HY28" s="9">
        <v>4596.0119999999997</v>
      </c>
    </row>
    <row r="29" spans="1:233" x14ac:dyDescent="0.35">
      <c r="A29" s="12" t="s">
        <v>302</v>
      </c>
      <c r="B29" s="12" t="s">
        <v>303</v>
      </c>
      <c r="C29" s="9">
        <v>279.18299999999999</v>
      </c>
      <c r="D29" s="9">
        <v>-0.44500000000000001</v>
      </c>
      <c r="F29" s="9">
        <v>29.815000000000001</v>
      </c>
      <c r="G29" s="9">
        <v>4.9960000000000004</v>
      </c>
      <c r="H29" s="9">
        <v>313.54899999999998</v>
      </c>
      <c r="I29" s="9">
        <v>-0.49199999999999999</v>
      </c>
      <c r="K29" s="9">
        <v>27.023</v>
      </c>
      <c r="L29" s="9">
        <v>5.2839999999999998</v>
      </c>
      <c r="M29" s="9">
        <v>345.36399999999998</v>
      </c>
      <c r="N29" s="9">
        <v>-0.49099999999999999</v>
      </c>
      <c r="P29" s="9">
        <v>30.809000000000001</v>
      </c>
      <c r="Q29" s="9">
        <v>3.512</v>
      </c>
      <c r="R29" s="9">
        <v>379.19499999999999</v>
      </c>
      <c r="S29" s="9">
        <v>-0.51</v>
      </c>
      <c r="U29" s="9">
        <v>14.727</v>
      </c>
      <c r="V29" s="9">
        <v>1.694</v>
      </c>
      <c r="W29" s="9">
        <v>395.10700000000003</v>
      </c>
      <c r="X29" s="9">
        <v>-0.52400000000000002</v>
      </c>
      <c r="Z29" s="9">
        <v>25.358000000000001</v>
      </c>
      <c r="AA29" s="9">
        <v>5.62</v>
      </c>
      <c r="AB29" s="9">
        <v>425.56099999999998</v>
      </c>
      <c r="AC29" s="9">
        <v>-0.56899999999999995</v>
      </c>
      <c r="AE29" s="9">
        <v>-5.5860000000000003</v>
      </c>
      <c r="AF29" s="9">
        <v>5.0570000000000004</v>
      </c>
      <c r="AG29" s="9">
        <v>424.46300000000002</v>
      </c>
      <c r="AH29" s="9">
        <v>-0.45300000000000001</v>
      </c>
      <c r="AJ29" s="9">
        <v>13.102</v>
      </c>
      <c r="AK29" s="9">
        <v>-0.41099999999999998</v>
      </c>
      <c r="AL29" s="9">
        <v>436.702</v>
      </c>
      <c r="AM29" s="9">
        <v>-0.46200000000000002</v>
      </c>
      <c r="AO29" s="9">
        <v>28.88</v>
      </c>
      <c r="AP29" s="9">
        <v>-7.6999999999999999E-2</v>
      </c>
      <c r="AQ29" s="9">
        <v>465.04300000000001</v>
      </c>
      <c r="AR29" s="9">
        <v>-0.47</v>
      </c>
      <c r="AT29" s="9">
        <v>36.106000000000002</v>
      </c>
      <c r="AU29" s="9">
        <v>-9.2789999999999999</v>
      </c>
      <c r="AV29" s="9">
        <v>491.4</v>
      </c>
      <c r="AW29" s="9">
        <v>-0.57699999999999996</v>
      </c>
      <c r="AY29" s="9">
        <v>65.412999999999997</v>
      </c>
      <c r="AZ29" s="9">
        <v>-2.8119999999999998</v>
      </c>
      <c r="BA29" s="9">
        <v>553.42399999999998</v>
      </c>
      <c r="BB29" s="9">
        <v>-0.998</v>
      </c>
      <c r="BD29" s="9">
        <v>82.814999999999998</v>
      </c>
      <c r="BE29" s="9">
        <v>2.726</v>
      </c>
      <c r="BF29" s="9">
        <v>637.96699999999998</v>
      </c>
      <c r="BG29" s="9">
        <v>-1.0129999999999999</v>
      </c>
      <c r="BI29" s="9">
        <v>46.375</v>
      </c>
      <c r="BJ29" s="9">
        <v>14.414</v>
      </c>
      <c r="BK29" s="9">
        <v>697.74400000000003</v>
      </c>
      <c r="BL29" s="9">
        <v>-1.127</v>
      </c>
      <c r="BN29" s="9">
        <v>-37.354999999999997</v>
      </c>
      <c r="BO29" s="9">
        <v>2.476</v>
      </c>
      <c r="BP29" s="9">
        <v>661.73800000000006</v>
      </c>
      <c r="BQ29" s="9">
        <v>-0.90600000000000003</v>
      </c>
      <c r="BS29" s="9">
        <v>-71.165000000000006</v>
      </c>
      <c r="BT29" s="9">
        <v>1.484</v>
      </c>
      <c r="BU29" s="9">
        <v>591.15099999999995</v>
      </c>
      <c r="BV29" s="9">
        <v>-0.76800000000000002</v>
      </c>
      <c r="BX29" s="9">
        <v>-44.765999999999998</v>
      </c>
      <c r="BY29" s="9">
        <v>3.198</v>
      </c>
      <c r="BZ29" s="9">
        <v>548.81500000000005</v>
      </c>
      <c r="CA29" s="9">
        <v>-0.47499999999999998</v>
      </c>
      <c r="CC29" s="9">
        <v>13.57</v>
      </c>
      <c r="CD29" s="9">
        <v>3.4340000000000002</v>
      </c>
      <c r="CE29" s="9">
        <v>565.34500000000003</v>
      </c>
      <c r="CF29" s="9">
        <v>-1.008</v>
      </c>
      <c r="CH29" s="9">
        <v>-55.999000000000002</v>
      </c>
      <c r="CI29" s="9">
        <v>2.9460000000000002</v>
      </c>
      <c r="CJ29" s="9">
        <v>511.28399999999999</v>
      </c>
      <c r="CK29" s="9">
        <v>-0.76800000000000002</v>
      </c>
      <c r="CM29" s="9">
        <v>-12.166</v>
      </c>
      <c r="CN29" s="9">
        <v>2.9950000000000001</v>
      </c>
      <c r="CO29" s="9">
        <v>501.346</v>
      </c>
      <c r="CP29" s="9">
        <v>-1.6890000000000001</v>
      </c>
      <c r="CR29" s="9">
        <v>-12.413</v>
      </c>
      <c r="CS29" s="9">
        <v>0.63500000000000001</v>
      </c>
      <c r="CT29" s="9">
        <v>487.87799999999999</v>
      </c>
      <c r="CU29" s="9">
        <v>-1.6539999999999999</v>
      </c>
      <c r="CW29" s="9">
        <v>78.364000000000004</v>
      </c>
      <c r="CX29" s="9">
        <v>2.8220000000000001</v>
      </c>
      <c r="CY29" s="9">
        <v>567.41099999999994</v>
      </c>
      <c r="CZ29" s="9">
        <v>-1.641</v>
      </c>
      <c r="DB29" s="9">
        <v>187.745</v>
      </c>
      <c r="DC29" s="9">
        <v>4.5350000000000001</v>
      </c>
      <c r="DD29" s="9">
        <v>758.05</v>
      </c>
      <c r="DE29" s="9">
        <v>-2.6760000000000002</v>
      </c>
      <c r="DG29" s="9">
        <v>178.15199999999999</v>
      </c>
      <c r="DH29" s="9">
        <v>9.82</v>
      </c>
      <c r="DI29" s="9">
        <v>943.34500000000003</v>
      </c>
      <c r="DJ29" s="9">
        <v>-1.8120000000000001</v>
      </c>
      <c r="DL29" s="9">
        <v>163.47999999999999</v>
      </c>
      <c r="DM29" s="9">
        <v>13.567</v>
      </c>
      <c r="DN29" s="9">
        <v>1118.58</v>
      </c>
      <c r="DO29" s="9">
        <v>-2.1760000000000002</v>
      </c>
      <c r="DQ29" s="9">
        <v>284.45999999999998</v>
      </c>
      <c r="DR29" s="9">
        <v>17.620999999999999</v>
      </c>
      <c r="DS29" s="9">
        <v>1418.4849999999999</v>
      </c>
      <c r="DT29" s="9">
        <v>-2.125</v>
      </c>
      <c r="DV29" s="9">
        <v>407.23099999999999</v>
      </c>
      <c r="DW29" s="9">
        <v>18.12</v>
      </c>
      <c r="DX29" s="9">
        <v>1841.711</v>
      </c>
      <c r="DY29" s="9">
        <v>-2.58</v>
      </c>
      <c r="EA29" s="9">
        <v>548.31700000000001</v>
      </c>
      <c r="EB29" s="9">
        <v>28.597000000000001</v>
      </c>
      <c r="EC29" s="9">
        <v>2416.0450000000001</v>
      </c>
      <c r="ED29" s="9">
        <v>-2.8849999999999998</v>
      </c>
      <c r="EF29" s="9">
        <v>612.52</v>
      </c>
      <c r="EG29" s="9">
        <v>33.436</v>
      </c>
      <c r="EH29" s="9">
        <v>3059.116</v>
      </c>
      <c r="EI29" s="9">
        <v>-3.419</v>
      </c>
      <c r="EK29" s="9">
        <v>426.88</v>
      </c>
      <c r="EL29" s="9">
        <v>43.404000000000003</v>
      </c>
      <c r="EM29" s="9">
        <v>3525.9810000000002</v>
      </c>
      <c r="EN29" s="9">
        <v>-3.9929999999999999</v>
      </c>
      <c r="EP29" s="9">
        <v>172.80799999999999</v>
      </c>
      <c r="EQ29" s="9">
        <v>93.917000000000002</v>
      </c>
      <c r="ER29" s="9">
        <v>3788.7130000000002</v>
      </c>
      <c r="ES29" s="9">
        <v>-2.903</v>
      </c>
      <c r="EU29" s="9">
        <v>-438.68900000000002</v>
      </c>
      <c r="EV29" s="9">
        <v>39.267000000000003</v>
      </c>
      <c r="EW29" s="9">
        <v>3386.3879999999999</v>
      </c>
      <c r="EX29" s="9">
        <v>-3.5609999999999999</v>
      </c>
      <c r="EZ29" s="9">
        <v>-104.76</v>
      </c>
      <c r="FA29" s="9">
        <v>-16.564</v>
      </c>
      <c r="FB29" s="9">
        <v>3261.502</v>
      </c>
      <c r="FC29" s="9">
        <v>-3.153</v>
      </c>
      <c r="FE29" s="9">
        <v>427.37099999999998</v>
      </c>
      <c r="FF29" s="9">
        <v>9.4350000000000005</v>
      </c>
      <c r="FG29" s="9">
        <v>3695.1550000000002</v>
      </c>
      <c r="FH29" s="9">
        <v>-3.883</v>
      </c>
      <c r="FJ29" s="9">
        <v>113.49299999999999</v>
      </c>
      <c r="FK29" s="9">
        <v>40.773000000000003</v>
      </c>
      <c r="FL29" s="9">
        <v>3845.538</v>
      </c>
      <c r="FM29" s="9">
        <v>-3.9510000000000001</v>
      </c>
      <c r="FO29" s="9">
        <v>-168.971</v>
      </c>
      <c r="FP29" s="9">
        <v>41.688000000000002</v>
      </c>
      <c r="FQ29" s="9">
        <v>3714.3029999999999</v>
      </c>
      <c r="FR29" s="9">
        <v>-3.4089999999999998</v>
      </c>
      <c r="FT29" s="9">
        <v>-176.30500000000001</v>
      </c>
      <c r="FU29" s="9">
        <v>55.761000000000003</v>
      </c>
      <c r="FV29" s="9">
        <v>3590.3490000000002</v>
      </c>
      <c r="FW29" s="9">
        <v>-3.665</v>
      </c>
      <c r="FY29" s="9">
        <v>-185.87299999999999</v>
      </c>
      <c r="FZ29" s="9">
        <v>37.350999999999999</v>
      </c>
      <c r="GA29" s="9">
        <v>3438.163</v>
      </c>
      <c r="GB29" s="9">
        <v>-3.3439999999999999</v>
      </c>
      <c r="GD29" s="9">
        <v>-15.382999999999999</v>
      </c>
      <c r="GE29" s="9">
        <v>37.191000000000003</v>
      </c>
      <c r="GF29" s="9">
        <v>3456.6280000000002</v>
      </c>
      <c r="GG29" s="9">
        <v>-3.1619999999999999</v>
      </c>
      <c r="GI29" s="9">
        <v>109.977</v>
      </c>
      <c r="GJ29" s="9">
        <v>35.826999999999998</v>
      </c>
      <c r="GK29" s="9">
        <v>3599.27</v>
      </c>
      <c r="GL29" s="9">
        <v>-3.4609999999999999</v>
      </c>
      <c r="GN29" s="9">
        <v>154.863</v>
      </c>
      <c r="GO29" s="9">
        <v>51.585999999999999</v>
      </c>
      <c r="GP29" s="9">
        <v>3802.2579999999998</v>
      </c>
      <c r="GQ29" s="9">
        <v>-3.4609999999999999</v>
      </c>
      <c r="GS29" s="9">
        <v>159.625</v>
      </c>
      <c r="GT29" s="9">
        <v>53.814999999999998</v>
      </c>
      <c r="GU29" s="9">
        <v>4012.2370000000001</v>
      </c>
      <c r="GV29" s="9">
        <v>-3.7210000000000001</v>
      </c>
      <c r="GX29" s="9">
        <v>231.94399999999999</v>
      </c>
      <c r="GY29" s="9">
        <v>77.185000000000002</v>
      </c>
      <c r="GZ29" s="9">
        <v>4317.6450000000004</v>
      </c>
      <c r="HA29" s="9">
        <v>-2.847</v>
      </c>
      <c r="HC29" s="9">
        <v>315.19299999999998</v>
      </c>
      <c r="HD29" s="9">
        <v>73.212000000000003</v>
      </c>
      <c r="HE29" s="9">
        <v>4703.2030000000004</v>
      </c>
      <c r="HF29" s="9">
        <v>-3.0640000000000001</v>
      </c>
      <c r="HH29" s="9">
        <v>240.447</v>
      </c>
      <c r="HI29" s="9">
        <v>83.162000000000006</v>
      </c>
      <c r="HJ29" s="9">
        <v>5023.7479999999996</v>
      </c>
      <c r="HK29" s="9">
        <v>-2.823</v>
      </c>
      <c r="HM29" s="9">
        <v>48.634</v>
      </c>
      <c r="HN29" s="9">
        <v>87.71</v>
      </c>
      <c r="HO29" s="9">
        <v>5157.2690000000002</v>
      </c>
      <c r="HP29" s="9">
        <v>-3.492</v>
      </c>
      <c r="HR29" s="9">
        <v>-510.113</v>
      </c>
      <c r="HS29" s="9">
        <v>71.478999999999999</v>
      </c>
      <c r="HT29" s="9">
        <v>4715.143</v>
      </c>
      <c r="HU29" s="9">
        <v>-3.9940000000000002</v>
      </c>
      <c r="HW29" s="9">
        <v>-193.72</v>
      </c>
      <c r="HX29" s="9">
        <v>78.582999999999998</v>
      </c>
      <c r="HY29" s="9">
        <v>4596.0119999999997</v>
      </c>
    </row>
    <row r="30" spans="1:233" x14ac:dyDescent="0.35">
      <c r="A30" s="12" t="s">
        <v>304</v>
      </c>
      <c r="B30" s="12" t="s">
        <v>305</v>
      </c>
      <c r="C30" s="9">
        <v>128.63999999999999</v>
      </c>
      <c r="F30" s="9">
        <v>14.831</v>
      </c>
      <c r="G30" s="9">
        <v>7.6550000000000002</v>
      </c>
      <c r="H30" s="9">
        <v>151.12700000000001</v>
      </c>
      <c r="K30" s="9">
        <v>15.989000000000001</v>
      </c>
      <c r="L30" s="9">
        <v>8.5009999999999994</v>
      </c>
      <c r="M30" s="9">
        <v>175.61600000000001</v>
      </c>
      <c r="P30" s="9">
        <v>19.588000000000001</v>
      </c>
      <c r="Q30" s="9">
        <v>4.25</v>
      </c>
      <c r="R30" s="9">
        <v>199.45400000000001</v>
      </c>
      <c r="U30" s="9">
        <v>4.5170000000000003</v>
      </c>
      <c r="V30" s="9">
        <v>3.6440000000000001</v>
      </c>
      <c r="W30" s="9">
        <v>207.61500000000001</v>
      </c>
      <c r="Z30" s="9">
        <v>15.733000000000001</v>
      </c>
      <c r="AA30" s="9">
        <v>7.2640000000000002</v>
      </c>
      <c r="AB30" s="9">
        <v>230.61199999999999</v>
      </c>
      <c r="AE30" s="9">
        <v>-7.5979999999999999</v>
      </c>
      <c r="AF30" s="9">
        <v>6.5830000000000002</v>
      </c>
      <c r="AG30" s="9">
        <v>229.59800000000001</v>
      </c>
      <c r="AJ30" s="9">
        <v>15.372999999999999</v>
      </c>
      <c r="AK30" s="9">
        <v>4.6619999999999999</v>
      </c>
      <c r="AL30" s="9">
        <v>249.63200000000001</v>
      </c>
      <c r="AO30" s="9">
        <v>27.594999999999999</v>
      </c>
      <c r="AP30" s="9">
        <v>3.9420000000000002</v>
      </c>
      <c r="AQ30" s="9">
        <v>281.16899999999998</v>
      </c>
      <c r="AT30" s="9">
        <v>40.384</v>
      </c>
      <c r="AU30" s="9">
        <v>3.8109999999999999</v>
      </c>
      <c r="AV30" s="9">
        <v>325.36500000000001</v>
      </c>
      <c r="AY30" s="9">
        <v>66.852999999999994</v>
      </c>
      <c r="AZ30" s="9">
        <v>5.1849999999999996</v>
      </c>
      <c r="BA30" s="9">
        <v>397.40300000000002</v>
      </c>
      <c r="BD30" s="9">
        <v>73.816000000000003</v>
      </c>
      <c r="BE30" s="9">
        <v>6.8630000000000004</v>
      </c>
      <c r="BF30" s="9">
        <v>478.08100000000002</v>
      </c>
      <c r="BI30" s="9">
        <v>33.383000000000003</v>
      </c>
      <c r="BJ30" s="9">
        <v>7.4029999999999996</v>
      </c>
      <c r="BK30" s="9">
        <v>518.86699999999996</v>
      </c>
      <c r="BN30" s="9">
        <v>-28.951000000000001</v>
      </c>
      <c r="BO30" s="9">
        <v>6.4450000000000003</v>
      </c>
      <c r="BP30" s="9">
        <v>496.36099999999999</v>
      </c>
      <c r="BS30" s="9">
        <v>-60.204000000000001</v>
      </c>
      <c r="BT30" s="9">
        <v>5.3120000000000003</v>
      </c>
      <c r="BU30" s="9">
        <v>441.46899999999999</v>
      </c>
      <c r="BX30" s="9">
        <v>-38.567</v>
      </c>
      <c r="BY30" s="9">
        <v>7.0110000000000001</v>
      </c>
      <c r="BZ30" s="9">
        <v>409.91199999999998</v>
      </c>
      <c r="CC30" s="9">
        <v>12.654999999999999</v>
      </c>
      <c r="CD30" s="9">
        <v>7.3680000000000003</v>
      </c>
      <c r="CE30" s="9">
        <v>429.935</v>
      </c>
      <c r="CH30" s="9">
        <v>-48.76</v>
      </c>
      <c r="CI30" s="9">
        <v>7.1870000000000003</v>
      </c>
      <c r="CJ30" s="9">
        <v>388.36200000000002</v>
      </c>
      <c r="CM30" s="9">
        <v>-12.853999999999999</v>
      </c>
      <c r="CN30" s="9">
        <v>6.0039999999999996</v>
      </c>
      <c r="CO30" s="9">
        <v>381.51299999999998</v>
      </c>
      <c r="CR30" s="9">
        <v>-13.749000000000001</v>
      </c>
      <c r="CS30" s="9">
        <v>4.05</v>
      </c>
      <c r="CT30" s="9">
        <v>371.815</v>
      </c>
      <c r="CW30" s="9">
        <v>64.947000000000003</v>
      </c>
      <c r="CX30" s="9">
        <v>5.6379999999999999</v>
      </c>
      <c r="CY30" s="9">
        <v>442.4</v>
      </c>
      <c r="DB30" s="9">
        <v>163.07</v>
      </c>
      <c r="DC30" s="9">
        <v>8.6790000000000003</v>
      </c>
      <c r="DD30" s="9">
        <v>614.149</v>
      </c>
      <c r="DG30" s="9">
        <v>153.40299999999999</v>
      </c>
      <c r="DH30" s="9">
        <v>12.337999999999999</v>
      </c>
      <c r="DI30" s="9">
        <v>779.89</v>
      </c>
      <c r="DL30" s="9">
        <v>140.11799999999999</v>
      </c>
      <c r="DM30" s="9">
        <v>20.170999999999999</v>
      </c>
      <c r="DN30" s="9">
        <v>940.17899999999997</v>
      </c>
      <c r="DQ30" s="9">
        <v>249.76400000000001</v>
      </c>
      <c r="DR30" s="9">
        <v>22.030999999999999</v>
      </c>
      <c r="DS30" s="9">
        <v>1211.9739999999999</v>
      </c>
      <c r="DV30" s="9">
        <v>363.76</v>
      </c>
      <c r="DW30" s="9">
        <v>23.67</v>
      </c>
      <c r="DX30" s="9">
        <v>1599.404</v>
      </c>
      <c r="EA30" s="9">
        <v>493.01900000000001</v>
      </c>
      <c r="EB30" s="9">
        <v>39.030999999999999</v>
      </c>
      <c r="EC30" s="9">
        <v>2131.453</v>
      </c>
      <c r="EF30" s="9">
        <v>552.55200000000002</v>
      </c>
      <c r="EG30" s="9">
        <v>46.235999999999997</v>
      </c>
      <c r="EH30" s="9">
        <v>2730.241</v>
      </c>
      <c r="EK30" s="9">
        <v>381.85</v>
      </c>
      <c r="EL30" s="9">
        <v>54.264000000000003</v>
      </c>
      <c r="EM30" s="9">
        <v>3166.355</v>
      </c>
      <c r="EP30" s="9">
        <v>142.733</v>
      </c>
      <c r="EQ30" s="9">
        <v>97.344999999999999</v>
      </c>
      <c r="ER30" s="9">
        <v>3406.4340000000002</v>
      </c>
      <c r="EU30" s="9">
        <v>-417.286</v>
      </c>
      <c r="EV30" s="9">
        <v>43.545999999999999</v>
      </c>
      <c r="EW30" s="9">
        <v>3032.6930000000002</v>
      </c>
      <c r="EZ30" s="9">
        <v>-127.934</v>
      </c>
      <c r="FA30" s="9">
        <v>22.567</v>
      </c>
      <c r="FB30" s="9">
        <v>2927.326</v>
      </c>
      <c r="FE30" s="9">
        <v>377.48</v>
      </c>
      <c r="FF30" s="9">
        <v>16.565999999999999</v>
      </c>
      <c r="FG30" s="9">
        <v>3321.3710000000001</v>
      </c>
      <c r="FJ30" s="9">
        <v>86.977000000000004</v>
      </c>
      <c r="FK30" s="9">
        <v>43.011000000000003</v>
      </c>
      <c r="FL30" s="9">
        <v>3451.3589999999999</v>
      </c>
      <c r="FO30" s="9">
        <v>-171.19499999999999</v>
      </c>
      <c r="FP30" s="9">
        <v>45.128999999999998</v>
      </c>
      <c r="FQ30" s="9">
        <v>3325.2930000000001</v>
      </c>
      <c r="FT30" s="9">
        <v>-172.733</v>
      </c>
      <c r="FU30" s="9">
        <v>56.127000000000002</v>
      </c>
      <c r="FV30" s="9">
        <v>3208.6880000000001</v>
      </c>
      <c r="FY30" s="9">
        <v>-174.80199999999999</v>
      </c>
      <c r="FZ30" s="9">
        <v>27.898</v>
      </c>
      <c r="GA30" s="9">
        <v>3061.7840000000001</v>
      </c>
      <c r="GD30" s="9">
        <v>-27.774000000000001</v>
      </c>
      <c r="GE30" s="9">
        <v>43.725999999999999</v>
      </c>
      <c r="GF30" s="9">
        <v>3077.7359999999999</v>
      </c>
      <c r="GI30" s="9">
        <v>90.123999999999995</v>
      </c>
      <c r="GJ30" s="9">
        <v>31.306999999999999</v>
      </c>
      <c r="GK30" s="9">
        <v>3199.1669999999999</v>
      </c>
      <c r="GN30" s="9">
        <v>137.95500000000001</v>
      </c>
      <c r="GO30" s="9">
        <v>40.018999999999998</v>
      </c>
      <c r="GP30" s="9">
        <v>3377.1410000000001</v>
      </c>
      <c r="GS30" s="9">
        <v>145.12</v>
      </c>
      <c r="GT30" s="9">
        <v>40.630000000000003</v>
      </c>
      <c r="GU30" s="9">
        <v>3562.8910000000001</v>
      </c>
      <c r="GX30" s="9">
        <v>199.75299999999999</v>
      </c>
      <c r="GY30" s="9">
        <v>49.069000000000003</v>
      </c>
      <c r="GZ30" s="9">
        <v>3811.7130000000002</v>
      </c>
      <c r="HC30" s="9">
        <v>268.98099999999999</v>
      </c>
      <c r="HD30" s="9">
        <v>55.720999999999997</v>
      </c>
      <c r="HE30" s="9">
        <v>4136.415</v>
      </c>
      <c r="HH30" s="9">
        <v>208.90700000000001</v>
      </c>
      <c r="HI30" s="9">
        <v>64.046999999999997</v>
      </c>
      <c r="HJ30" s="9">
        <v>4409.3689999999997</v>
      </c>
      <c r="HM30" s="9">
        <v>49.935000000000002</v>
      </c>
      <c r="HN30" s="9">
        <v>66.866</v>
      </c>
      <c r="HO30" s="9">
        <v>4526.17</v>
      </c>
      <c r="HR30" s="9">
        <v>-452.89100000000002</v>
      </c>
      <c r="HS30" s="9">
        <v>52.036999999999999</v>
      </c>
      <c r="HT30" s="9">
        <v>4125.3159999999998</v>
      </c>
      <c r="HW30" s="9">
        <v>-183.85499999999999</v>
      </c>
      <c r="HX30" s="9">
        <v>51.344000000000001</v>
      </c>
      <c r="HY30" s="9">
        <v>3992.8049999999998</v>
      </c>
    </row>
    <row r="31" spans="1:233" x14ac:dyDescent="0.35">
      <c r="A31" s="12" t="s">
        <v>306</v>
      </c>
      <c r="B31" s="12" t="s">
        <v>307</v>
      </c>
      <c r="C31" s="9">
        <v>108.161</v>
      </c>
      <c r="D31" s="9">
        <v>0</v>
      </c>
      <c r="F31" s="9">
        <v>7.9969999999999999</v>
      </c>
      <c r="G31" s="9">
        <v>-2.2919999999999998</v>
      </c>
      <c r="H31" s="9">
        <v>113.866</v>
      </c>
      <c r="I31" s="9">
        <v>0</v>
      </c>
      <c r="K31" s="9">
        <v>4.8099999999999996</v>
      </c>
      <c r="L31" s="9">
        <v>-2.9569999999999999</v>
      </c>
      <c r="M31" s="9">
        <v>115.71899999999999</v>
      </c>
      <c r="N31" s="9">
        <v>0</v>
      </c>
      <c r="P31" s="9">
        <v>6.6440000000000001</v>
      </c>
      <c r="Q31" s="9">
        <v>-0.61899999999999999</v>
      </c>
      <c r="R31" s="9">
        <v>121.744</v>
      </c>
      <c r="S31" s="9">
        <v>0</v>
      </c>
      <c r="U31" s="9">
        <v>6.26</v>
      </c>
      <c r="V31" s="9">
        <v>-0.92400000000000004</v>
      </c>
      <c r="W31" s="9">
        <v>127.08</v>
      </c>
      <c r="X31" s="9">
        <v>0</v>
      </c>
      <c r="Z31" s="9">
        <v>5.4359999999999999</v>
      </c>
      <c r="AA31" s="9">
        <v>-1.4450000000000001</v>
      </c>
      <c r="AB31" s="9">
        <v>131.072</v>
      </c>
      <c r="AC31" s="9">
        <v>0</v>
      </c>
      <c r="AE31" s="9">
        <v>1.407</v>
      </c>
      <c r="AF31" s="9">
        <v>-1.095</v>
      </c>
      <c r="AG31" s="9">
        <v>131.38399999999999</v>
      </c>
      <c r="AH31" s="9">
        <v>0</v>
      </c>
      <c r="AJ31" s="9">
        <v>-1.847</v>
      </c>
      <c r="AK31" s="9">
        <v>-3.4940000000000002</v>
      </c>
      <c r="AL31" s="9">
        <v>126.04300000000001</v>
      </c>
      <c r="AM31" s="9">
        <v>0</v>
      </c>
      <c r="AO31" s="9">
        <v>5.6000000000000001E-2</v>
      </c>
      <c r="AP31" s="9">
        <v>-2.5739999999999998</v>
      </c>
      <c r="AQ31" s="9">
        <v>123.524</v>
      </c>
      <c r="AR31" s="9">
        <v>0</v>
      </c>
      <c r="AT31" s="9">
        <v>-4.5940000000000003</v>
      </c>
      <c r="AU31" s="9">
        <v>-7.98</v>
      </c>
      <c r="AV31" s="9">
        <v>110.95</v>
      </c>
      <c r="AW31" s="9">
        <v>0</v>
      </c>
      <c r="AY31" s="9">
        <v>-2.0920000000000001</v>
      </c>
      <c r="AZ31" s="9">
        <v>-4.7960000000000003</v>
      </c>
      <c r="BA31" s="9">
        <v>104.062</v>
      </c>
      <c r="BB31" s="9">
        <v>0</v>
      </c>
      <c r="BD31" s="9">
        <v>2.968</v>
      </c>
      <c r="BE31" s="9">
        <v>-2.7909999999999999</v>
      </c>
      <c r="BF31" s="9">
        <v>104.239</v>
      </c>
      <c r="BG31" s="9">
        <v>0</v>
      </c>
      <c r="BI31" s="9">
        <v>9.4819999999999993</v>
      </c>
      <c r="BJ31" s="9">
        <v>3.3730000000000002</v>
      </c>
      <c r="BK31" s="9">
        <v>117.09399999999999</v>
      </c>
      <c r="BL31" s="9">
        <v>0</v>
      </c>
      <c r="BN31" s="9">
        <v>-3.956</v>
      </c>
      <c r="BO31" s="9">
        <v>-4.4710000000000001</v>
      </c>
      <c r="BP31" s="9">
        <v>108.667</v>
      </c>
      <c r="BQ31" s="9">
        <v>0</v>
      </c>
      <c r="BS31" s="9">
        <v>-6.133</v>
      </c>
      <c r="BT31" s="9">
        <v>-4.2679999999999998</v>
      </c>
      <c r="BU31" s="9">
        <v>98.266000000000005</v>
      </c>
      <c r="BV31" s="9">
        <v>0</v>
      </c>
      <c r="BX31" s="9">
        <v>-3.9409999999999998</v>
      </c>
      <c r="BY31" s="9">
        <v>-4.0860000000000003</v>
      </c>
      <c r="BZ31" s="9">
        <v>90.24</v>
      </c>
      <c r="CA31" s="9">
        <v>0</v>
      </c>
      <c r="CC31" s="9">
        <v>1.48</v>
      </c>
      <c r="CD31" s="9">
        <v>-4.093</v>
      </c>
      <c r="CE31" s="9">
        <v>87.626999999999995</v>
      </c>
      <c r="CF31" s="9">
        <v>0</v>
      </c>
      <c r="CH31" s="9">
        <v>-0.89800000000000002</v>
      </c>
      <c r="CI31" s="9">
        <v>-4.9240000000000004</v>
      </c>
      <c r="CJ31" s="9">
        <v>81.805999999999997</v>
      </c>
      <c r="CK31" s="9">
        <v>0</v>
      </c>
      <c r="CM31" s="9">
        <v>0.73399999999999999</v>
      </c>
      <c r="CN31" s="9">
        <v>-3.3580000000000001</v>
      </c>
      <c r="CO31" s="9">
        <v>79.182000000000002</v>
      </c>
      <c r="CP31" s="9">
        <v>0</v>
      </c>
      <c r="CR31" s="9">
        <v>2.1030000000000002</v>
      </c>
      <c r="CS31" s="9">
        <v>-4.5250000000000004</v>
      </c>
      <c r="CT31" s="9">
        <v>76.760000000000005</v>
      </c>
      <c r="CU31" s="9">
        <v>0</v>
      </c>
      <c r="CW31" s="9">
        <v>7.2709999999999999</v>
      </c>
      <c r="CX31" s="9">
        <v>-3.7450000000000001</v>
      </c>
      <c r="CY31" s="9">
        <v>80.286000000000001</v>
      </c>
      <c r="CZ31" s="9">
        <v>0.121</v>
      </c>
      <c r="DB31" s="9">
        <v>11.358000000000001</v>
      </c>
      <c r="DC31" s="9">
        <v>-5.3639999999999999</v>
      </c>
      <c r="DD31" s="9">
        <v>86.400999999999996</v>
      </c>
      <c r="DE31" s="9">
        <v>9.2999999999999999E-2</v>
      </c>
      <c r="DG31" s="9">
        <v>10.537000000000001</v>
      </c>
      <c r="DH31" s="9">
        <v>-4.7539999999999996</v>
      </c>
      <c r="DI31" s="9">
        <v>92.277000000000001</v>
      </c>
      <c r="DJ31" s="9">
        <v>0.115</v>
      </c>
      <c r="DL31" s="9">
        <v>9.2810000000000006</v>
      </c>
      <c r="DM31" s="9">
        <v>-5.8579999999999997</v>
      </c>
      <c r="DN31" s="9">
        <v>95.814999999999998</v>
      </c>
      <c r="DO31" s="9">
        <v>0.109</v>
      </c>
      <c r="DQ31" s="9">
        <v>13.353</v>
      </c>
      <c r="DR31" s="9">
        <v>-3.605</v>
      </c>
      <c r="DS31" s="9">
        <v>105.672</v>
      </c>
      <c r="DT31" s="9">
        <v>5.6000000000000001E-2</v>
      </c>
      <c r="DV31" s="9">
        <v>15.738</v>
      </c>
      <c r="DW31" s="9">
        <v>-4.593</v>
      </c>
      <c r="DX31" s="9">
        <v>116.873</v>
      </c>
      <c r="DY31" s="9">
        <v>4.0000000000000001E-3</v>
      </c>
      <c r="EA31" s="9">
        <v>19.701000000000001</v>
      </c>
      <c r="EB31" s="9">
        <v>-8.4120000000000008</v>
      </c>
      <c r="EC31" s="9">
        <v>128.16499999999999</v>
      </c>
      <c r="ED31" s="9">
        <v>-3.9E-2</v>
      </c>
      <c r="EF31" s="9">
        <v>20.25</v>
      </c>
      <c r="EG31" s="9">
        <v>-11.379</v>
      </c>
      <c r="EH31" s="9">
        <v>136.99799999999999</v>
      </c>
      <c r="EI31" s="9">
        <v>-7.2999999999999995E-2</v>
      </c>
      <c r="EK31" s="9">
        <v>14.422000000000001</v>
      </c>
      <c r="EL31" s="9">
        <v>-12.029</v>
      </c>
      <c r="EM31" s="9">
        <v>139.31800000000001</v>
      </c>
      <c r="EN31" s="9">
        <v>-7.8E-2</v>
      </c>
      <c r="EP31" s="9">
        <v>15.084</v>
      </c>
      <c r="EQ31" s="9">
        <v>-7.1890000000000001</v>
      </c>
      <c r="ER31" s="9">
        <v>147.13499999999999</v>
      </c>
      <c r="ES31" s="9">
        <v>-0.08</v>
      </c>
      <c r="EU31" s="9">
        <v>-2.411</v>
      </c>
      <c r="EV31" s="9">
        <v>-5.7640000000000002</v>
      </c>
      <c r="EW31" s="9">
        <v>138.88</v>
      </c>
      <c r="EX31" s="9">
        <v>-7.2999999999999995E-2</v>
      </c>
      <c r="EZ31" s="9">
        <v>8.0969999999999995</v>
      </c>
      <c r="FA31" s="9">
        <v>-21.344000000000001</v>
      </c>
      <c r="FB31" s="9">
        <v>125.56</v>
      </c>
      <c r="FC31" s="9">
        <v>-6.6000000000000003E-2</v>
      </c>
      <c r="FE31" s="9">
        <v>17.158000000000001</v>
      </c>
      <c r="FF31" s="9">
        <v>-8.9879999999999995</v>
      </c>
      <c r="FG31" s="9">
        <v>133.66399999999999</v>
      </c>
      <c r="FH31" s="9">
        <v>-6.7000000000000004E-2</v>
      </c>
      <c r="FJ31" s="9">
        <v>11.72</v>
      </c>
      <c r="FK31" s="9">
        <v>-4.742</v>
      </c>
      <c r="FL31" s="9">
        <v>140.57599999999999</v>
      </c>
      <c r="FM31" s="9">
        <v>-5.3999999999999999E-2</v>
      </c>
      <c r="FO31" s="9">
        <v>5.4029999999999996</v>
      </c>
      <c r="FP31" s="9">
        <v>-6.1970000000000001</v>
      </c>
      <c r="FQ31" s="9">
        <v>139.727</v>
      </c>
      <c r="FR31" s="9">
        <v>-4.4999999999999998E-2</v>
      </c>
      <c r="FT31" s="9">
        <v>3.6989999999999998</v>
      </c>
      <c r="FU31" s="9">
        <v>-3.2589999999999999</v>
      </c>
      <c r="FV31" s="9">
        <v>140.12200000000001</v>
      </c>
      <c r="FW31" s="9">
        <v>-6.5000000000000002E-2</v>
      </c>
      <c r="FY31" s="9">
        <v>0.83899999999999997</v>
      </c>
      <c r="FZ31" s="9">
        <v>-4.0410000000000004</v>
      </c>
      <c r="GA31" s="9">
        <v>136.85400000000001</v>
      </c>
      <c r="GB31" s="9">
        <v>-9.2999999999999999E-2</v>
      </c>
      <c r="GD31" s="9">
        <v>6.32</v>
      </c>
      <c r="GE31" s="9">
        <v>-7.0430000000000001</v>
      </c>
      <c r="GF31" s="9">
        <v>136.03800000000001</v>
      </c>
      <c r="GG31" s="9">
        <v>3.6999999999999998E-2</v>
      </c>
      <c r="GI31" s="9">
        <v>7.28</v>
      </c>
      <c r="GJ31" s="9">
        <v>-3.048</v>
      </c>
      <c r="GK31" s="9">
        <v>140.30699999999999</v>
      </c>
      <c r="GL31" s="9">
        <v>3.9E-2</v>
      </c>
      <c r="GN31" s="9">
        <v>5.1440000000000001</v>
      </c>
      <c r="GO31" s="9">
        <v>-1.302</v>
      </c>
      <c r="GP31" s="9">
        <v>144.18799999999999</v>
      </c>
      <c r="GQ31" s="9">
        <v>2.4E-2</v>
      </c>
      <c r="GS31" s="9">
        <v>4.6239999999999997</v>
      </c>
      <c r="GT31" s="9">
        <v>-1.7909999999999999</v>
      </c>
      <c r="GU31" s="9">
        <v>147.04499999999999</v>
      </c>
      <c r="GV31" s="9">
        <v>-4.2000000000000003E-2</v>
      </c>
      <c r="GX31" s="9">
        <v>7.9850000000000003</v>
      </c>
      <c r="GY31" s="9">
        <v>12.638</v>
      </c>
      <c r="GZ31" s="9">
        <v>167.626</v>
      </c>
      <c r="HA31" s="9">
        <v>-4.1000000000000002E-2</v>
      </c>
      <c r="HC31" s="9">
        <v>12.194000000000001</v>
      </c>
      <c r="HD31" s="9">
        <v>1.0409999999999999</v>
      </c>
      <c r="HE31" s="9">
        <v>180.821</v>
      </c>
      <c r="HF31" s="9">
        <v>-3.9E-2</v>
      </c>
      <c r="HH31" s="9">
        <v>8.8680000000000003</v>
      </c>
      <c r="HI31" s="9">
        <v>1.0609999999999999</v>
      </c>
      <c r="HJ31" s="9">
        <v>190.71100000000001</v>
      </c>
      <c r="HK31" s="9">
        <v>-3.6999999999999998E-2</v>
      </c>
      <c r="HM31" s="9">
        <v>2.8340000000000001</v>
      </c>
      <c r="HN31" s="9">
        <v>1.3009999999999999</v>
      </c>
      <c r="HO31" s="9">
        <v>194.80799999999999</v>
      </c>
      <c r="HP31" s="9">
        <v>-3.6999999999999998E-2</v>
      </c>
      <c r="HR31" s="9">
        <v>-13.831</v>
      </c>
      <c r="HS31" s="9">
        <v>0.43099999999999999</v>
      </c>
      <c r="HT31" s="9">
        <v>181.37100000000001</v>
      </c>
      <c r="HU31" s="9">
        <v>-3.7999999999999999E-2</v>
      </c>
      <c r="HW31" s="9">
        <v>-2.887</v>
      </c>
      <c r="HX31" s="9">
        <v>7.4459999999999997</v>
      </c>
      <c r="HY31" s="9">
        <v>185.892</v>
      </c>
    </row>
    <row r="32" spans="1:233" x14ac:dyDescent="0.35">
      <c r="A32" s="12" t="s">
        <v>308</v>
      </c>
      <c r="B32" s="12" t="s">
        <v>309</v>
      </c>
    </row>
    <row r="33" spans="1:233" x14ac:dyDescent="0.35">
      <c r="A33" s="12" t="s">
        <v>310</v>
      </c>
      <c r="B33" s="12" t="s">
        <v>311</v>
      </c>
      <c r="C33" s="9">
        <v>42.381999999999998</v>
      </c>
      <c r="D33" s="9">
        <v>-0.44500000000000001</v>
      </c>
      <c r="F33" s="9">
        <v>6.9870000000000001</v>
      </c>
      <c r="G33" s="9">
        <v>-0.36799999999999999</v>
      </c>
      <c r="H33" s="9">
        <v>48.555999999999997</v>
      </c>
      <c r="I33" s="9">
        <v>-0.49199999999999999</v>
      </c>
      <c r="K33" s="9">
        <v>6.2240000000000002</v>
      </c>
      <c r="L33" s="9">
        <v>-0.25900000000000001</v>
      </c>
      <c r="M33" s="9">
        <v>54.029000000000003</v>
      </c>
      <c r="N33" s="9">
        <v>-0.49099999999999999</v>
      </c>
      <c r="P33" s="9">
        <v>4.577</v>
      </c>
      <c r="Q33" s="9">
        <v>-0.11899999999999999</v>
      </c>
      <c r="R33" s="9">
        <v>57.997</v>
      </c>
      <c r="S33" s="9">
        <v>-0.51</v>
      </c>
      <c r="U33" s="9">
        <v>3.95</v>
      </c>
      <c r="V33" s="9">
        <v>-1.0249999999999999</v>
      </c>
      <c r="W33" s="9">
        <v>60.411000000000001</v>
      </c>
      <c r="X33" s="9">
        <v>-0.52400000000000002</v>
      </c>
      <c r="Z33" s="9">
        <v>4.1890000000000001</v>
      </c>
      <c r="AA33" s="9">
        <v>-0.19900000000000001</v>
      </c>
      <c r="AB33" s="9">
        <v>63.877000000000002</v>
      </c>
      <c r="AC33" s="9">
        <v>-0.56899999999999995</v>
      </c>
      <c r="AE33" s="9">
        <v>0.60499999999999998</v>
      </c>
      <c r="AF33" s="9">
        <v>-0.43099999999999999</v>
      </c>
      <c r="AG33" s="9">
        <v>63.481999999999999</v>
      </c>
      <c r="AH33" s="9">
        <v>-0.45300000000000001</v>
      </c>
      <c r="AJ33" s="9">
        <v>-0.42399999999999999</v>
      </c>
      <c r="AK33" s="9">
        <v>-1.5780000000000001</v>
      </c>
      <c r="AL33" s="9">
        <v>61.027000000000001</v>
      </c>
      <c r="AM33" s="9">
        <v>-0.46200000000000002</v>
      </c>
      <c r="AO33" s="9">
        <v>1.2290000000000001</v>
      </c>
      <c r="AP33" s="9">
        <v>-1.444</v>
      </c>
      <c r="AQ33" s="9">
        <v>60.35</v>
      </c>
      <c r="AR33" s="9">
        <v>-0.47</v>
      </c>
      <c r="AT33" s="9">
        <v>0.317</v>
      </c>
      <c r="AU33" s="9">
        <v>-5.1109999999999998</v>
      </c>
      <c r="AV33" s="9">
        <v>55.085000000000001</v>
      </c>
      <c r="AW33" s="9">
        <v>-0.57699999999999996</v>
      </c>
      <c r="AY33" s="9">
        <v>0.65200000000000002</v>
      </c>
      <c r="AZ33" s="9">
        <v>-3.2</v>
      </c>
      <c r="BA33" s="9">
        <v>51.96</v>
      </c>
      <c r="BB33" s="9">
        <v>-0.998</v>
      </c>
      <c r="BD33" s="9">
        <v>6.0309999999999997</v>
      </c>
      <c r="BE33" s="9">
        <v>-1.345</v>
      </c>
      <c r="BF33" s="9">
        <v>55.648000000000003</v>
      </c>
      <c r="BG33" s="9">
        <v>-1.0129999999999999</v>
      </c>
      <c r="BI33" s="9">
        <v>3.51</v>
      </c>
      <c r="BJ33" s="9">
        <v>3.6379999999999999</v>
      </c>
      <c r="BK33" s="9">
        <v>61.783000000000001</v>
      </c>
      <c r="BL33" s="9">
        <v>-1.127</v>
      </c>
      <c r="BN33" s="9">
        <v>-4.4480000000000004</v>
      </c>
      <c r="BO33" s="9">
        <v>0.502</v>
      </c>
      <c r="BP33" s="9">
        <v>56.71</v>
      </c>
      <c r="BQ33" s="9">
        <v>-0.90600000000000003</v>
      </c>
      <c r="BS33" s="9">
        <v>-4.827</v>
      </c>
      <c r="BT33" s="9">
        <v>0.44</v>
      </c>
      <c r="BU33" s="9">
        <v>51.417000000000002</v>
      </c>
      <c r="BV33" s="9">
        <v>-0.76800000000000002</v>
      </c>
      <c r="BX33" s="9">
        <v>-2.258</v>
      </c>
      <c r="BY33" s="9">
        <v>0.27300000000000002</v>
      </c>
      <c r="BZ33" s="9">
        <v>48.664000000000001</v>
      </c>
      <c r="CA33" s="9">
        <v>-0.47499999999999998</v>
      </c>
      <c r="CC33" s="9">
        <v>-0.56499999999999995</v>
      </c>
      <c r="CD33" s="9">
        <v>0.159</v>
      </c>
      <c r="CE33" s="9">
        <v>47.781999999999996</v>
      </c>
      <c r="CF33" s="9">
        <v>-1.008</v>
      </c>
      <c r="CH33" s="9">
        <v>-6.3410000000000002</v>
      </c>
      <c r="CI33" s="9">
        <v>0.68300000000000005</v>
      </c>
      <c r="CJ33" s="9">
        <v>41.116</v>
      </c>
      <c r="CK33" s="9">
        <v>-0.76800000000000002</v>
      </c>
      <c r="CM33" s="9">
        <v>-4.4999999999999998E-2</v>
      </c>
      <c r="CN33" s="9">
        <v>0.34799999999999998</v>
      </c>
      <c r="CO33" s="9">
        <v>40.651000000000003</v>
      </c>
      <c r="CP33" s="9">
        <v>-1.6890000000000001</v>
      </c>
      <c r="CR33" s="9">
        <v>-0.76700000000000002</v>
      </c>
      <c r="CS33" s="9">
        <v>1.109</v>
      </c>
      <c r="CT33" s="9">
        <v>39.304000000000002</v>
      </c>
      <c r="CU33" s="9">
        <v>-1.6539999999999999</v>
      </c>
      <c r="CW33" s="9">
        <v>6.1459999999999999</v>
      </c>
      <c r="CX33" s="9">
        <v>0.92900000000000005</v>
      </c>
      <c r="CY33" s="9">
        <v>44.725999999999999</v>
      </c>
      <c r="CZ33" s="9">
        <v>-1.762</v>
      </c>
      <c r="DB33" s="9">
        <v>13.317</v>
      </c>
      <c r="DC33" s="9">
        <v>1.22</v>
      </c>
      <c r="DD33" s="9">
        <v>57.500999999999998</v>
      </c>
      <c r="DE33" s="9">
        <v>-2.77</v>
      </c>
      <c r="DG33" s="9">
        <v>14.212</v>
      </c>
      <c r="DH33" s="9">
        <v>2.2349999999999999</v>
      </c>
      <c r="DI33" s="9">
        <v>71.177999999999997</v>
      </c>
      <c r="DJ33" s="9">
        <v>-1.9259999999999999</v>
      </c>
      <c r="DL33" s="9">
        <v>14.081</v>
      </c>
      <c r="DM33" s="9">
        <v>-0.746</v>
      </c>
      <c r="DN33" s="9">
        <v>82.587000000000003</v>
      </c>
      <c r="DO33" s="9">
        <v>-2.2850000000000001</v>
      </c>
      <c r="DQ33" s="9">
        <v>21.343</v>
      </c>
      <c r="DR33" s="9">
        <v>-0.80500000000000005</v>
      </c>
      <c r="DS33" s="9">
        <v>100.84</v>
      </c>
      <c r="DT33" s="9">
        <v>-2.181</v>
      </c>
      <c r="DV33" s="9">
        <v>27.733000000000001</v>
      </c>
      <c r="DW33" s="9">
        <v>-0.95699999999999996</v>
      </c>
      <c r="DX33" s="9">
        <v>125.435</v>
      </c>
      <c r="DY33" s="9">
        <v>-2.5840000000000001</v>
      </c>
      <c r="EA33" s="9">
        <v>35.597999999999999</v>
      </c>
      <c r="EB33" s="9">
        <v>-2.0219999999999998</v>
      </c>
      <c r="EC33" s="9">
        <v>156.42699999999999</v>
      </c>
      <c r="ED33" s="9">
        <v>-2.847</v>
      </c>
      <c r="EF33" s="9">
        <v>39.719000000000001</v>
      </c>
      <c r="EG33" s="9">
        <v>-1.4219999999999999</v>
      </c>
      <c r="EH33" s="9">
        <v>191.87700000000001</v>
      </c>
      <c r="EI33" s="9">
        <v>-3.3460000000000001</v>
      </c>
      <c r="EK33" s="9">
        <v>30.608000000000001</v>
      </c>
      <c r="EL33" s="9">
        <v>1.169</v>
      </c>
      <c r="EM33" s="9">
        <v>220.30799999999999</v>
      </c>
      <c r="EN33" s="9">
        <v>-3.915</v>
      </c>
      <c r="EP33" s="9">
        <v>14.991</v>
      </c>
      <c r="EQ33" s="9">
        <v>3.762</v>
      </c>
      <c r="ER33" s="9">
        <v>235.14500000000001</v>
      </c>
      <c r="ES33" s="9">
        <v>-2.823</v>
      </c>
      <c r="EU33" s="9">
        <v>-18.992999999999999</v>
      </c>
      <c r="EV33" s="9">
        <v>1.4850000000000001</v>
      </c>
      <c r="EW33" s="9">
        <v>214.81399999999999</v>
      </c>
      <c r="EX33" s="9">
        <v>-3.4889999999999999</v>
      </c>
      <c r="EZ33" s="9">
        <v>15.076000000000001</v>
      </c>
      <c r="FA33" s="9">
        <v>-17.786000000000001</v>
      </c>
      <c r="FB33" s="9">
        <v>208.61600000000001</v>
      </c>
      <c r="FC33" s="9">
        <v>-3.0880000000000001</v>
      </c>
      <c r="FE33" s="9">
        <v>32.734000000000002</v>
      </c>
      <c r="FF33" s="9">
        <v>1.8580000000000001</v>
      </c>
      <c r="FG33" s="9">
        <v>240.119</v>
      </c>
      <c r="FH33" s="9">
        <v>-3.8170000000000002</v>
      </c>
      <c r="FJ33" s="9">
        <v>14.795999999999999</v>
      </c>
      <c r="FK33" s="9">
        <v>2.5049999999999999</v>
      </c>
      <c r="FL33" s="9">
        <v>253.60300000000001</v>
      </c>
      <c r="FM33" s="9">
        <v>-3.8969999999999998</v>
      </c>
      <c r="FO33" s="9">
        <v>-3.1789999999999998</v>
      </c>
      <c r="FP33" s="9">
        <v>2.7559999999999998</v>
      </c>
      <c r="FQ33" s="9">
        <v>249.28299999999999</v>
      </c>
      <c r="FR33" s="9">
        <v>-3.3639999999999999</v>
      </c>
      <c r="FT33" s="9">
        <v>-7.2720000000000002</v>
      </c>
      <c r="FU33" s="9">
        <v>2.8919999999999999</v>
      </c>
      <c r="FV33" s="9">
        <v>241.53899999999999</v>
      </c>
      <c r="FW33" s="9">
        <v>-3.6</v>
      </c>
      <c r="FY33" s="9">
        <v>-11.909000000000001</v>
      </c>
      <c r="FZ33" s="9">
        <v>13.494999999999999</v>
      </c>
      <c r="GA33" s="9">
        <v>239.52500000000001</v>
      </c>
      <c r="GB33" s="9">
        <v>-3.25</v>
      </c>
      <c r="GD33" s="9">
        <v>6.0720000000000001</v>
      </c>
      <c r="GE33" s="9">
        <v>0.50800000000000001</v>
      </c>
      <c r="GF33" s="9">
        <v>242.85400000000001</v>
      </c>
      <c r="GG33" s="9">
        <v>-3.1989999999999998</v>
      </c>
      <c r="GI33" s="9">
        <v>12.574</v>
      </c>
      <c r="GJ33" s="9">
        <v>7.5679999999999996</v>
      </c>
      <c r="GK33" s="9">
        <v>259.79700000000003</v>
      </c>
      <c r="GL33" s="9">
        <v>-3.5</v>
      </c>
      <c r="GN33" s="9">
        <v>11.765000000000001</v>
      </c>
      <c r="GO33" s="9">
        <v>12.868</v>
      </c>
      <c r="GP33" s="9">
        <v>280.93</v>
      </c>
      <c r="GQ33" s="9">
        <v>-3.4849999999999999</v>
      </c>
      <c r="GS33" s="9">
        <v>9.8810000000000002</v>
      </c>
      <c r="GT33" s="9">
        <v>14.976000000000001</v>
      </c>
      <c r="GU33" s="9">
        <v>302.30200000000002</v>
      </c>
      <c r="GV33" s="9">
        <v>-3.6789999999999998</v>
      </c>
      <c r="GX33" s="9">
        <v>24.204999999999998</v>
      </c>
      <c r="GY33" s="9">
        <v>15.478</v>
      </c>
      <c r="GZ33" s="9">
        <v>338.30599999999998</v>
      </c>
      <c r="HA33" s="9">
        <v>-2.806</v>
      </c>
      <c r="HC33" s="9">
        <v>34.018000000000001</v>
      </c>
      <c r="HD33" s="9">
        <v>16.45</v>
      </c>
      <c r="HE33" s="9">
        <v>385.96800000000002</v>
      </c>
      <c r="HF33" s="9">
        <v>-3.0249999999999999</v>
      </c>
      <c r="HH33" s="9">
        <v>22.672000000000001</v>
      </c>
      <c r="HI33" s="9">
        <v>18.053999999999998</v>
      </c>
      <c r="HJ33" s="9">
        <v>423.66800000000001</v>
      </c>
      <c r="HK33" s="9">
        <v>-2.786</v>
      </c>
      <c r="HM33" s="9">
        <v>-4.1349999999999998</v>
      </c>
      <c r="HN33" s="9">
        <v>19.544</v>
      </c>
      <c r="HO33" s="9">
        <v>436.29199999999997</v>
      </c>
      <c r="HP33" s="9">
        <v>-3.4550000000000001</v>
      </c>
      <c r="HR33" s="9">
        <v>-43.39</v>
      </c>
      <c r="HS33" s="9">
        <v>19.010999999999999</v>
      </c>
      <c r="HT33" s="9">
        <v>408.45699999999999</v>
      </c>
      <c r="HU33" s="9">
        <v>-3.956</v>
      </c>
      <c r="HW33" s="9">
        <v>-6.9790000000000001</v>
      </c>
      <c r="HX33" s="9">
        <v>19.792999999999999</v>
      </c>
      <c r="HY33" s="9">
        <v>417.31599999999997</v>
      </c>
    </row>
    <row r="34" spans="1:233" x14ac:dyDescent="0.35">
      <c r="A34" s="12" t="s">
        <v>312</v>
      </c>
      <c r="B34" s="12" t="s">
        <v>313</v>
      </c>
    </row>
    <row r="35" spans="1:233" x14ac:dyDescent="0.35">
      <c r="A35" s="12" t="s">
        <v>314</v>
      </c>
      <c r="B35" s="12" t="s">
        <v>315</v>
      </c>
    </row>
    <row r="36" spans="1:233" x14ac:dyDescent="0.35">
      <c r="A36" s="12" t="s">
        <v>316</v>
      </c>
      <c r="B36" s="12" t="s">
        <v>317</v>
      </c>
    </row>
    <row r="37" spans="1:233" x14ac:dyDescent="0.35">
      <c r="A37" s="12" t="s">
        <v>318</v>
      </c>
      <c r="B37" s="12" t="s">
        <v>319</v>
      </c>
      <c r="C37" s="9">
        <v>13.065</v>
      </c>
      <c r="G37" s="9">
        <v>1.5129999999999999</v>
      </c>
      <c r="H37" s="9">
        <v>14.577999999999999</v>
      </c>
      <c r="L37" s="9">
        <v>1.581</v>
      </c>
      <c r="M37" s="9">
        <v>16.158999999999999</v>
      </c>
      <c r="Q37" s="9">
        <v>1.5209999999999999</v>
      </c>
      <c r="R37" s="9">
        <v>17.68</v>
      </c>
      <c r="V37" s="9">
        <v>1.3779999999999999</v>
      </c>
      <c r="W37" s="9">
        <v>19.056999999999999</v>
      </c>
      <c r="AA37" s="9">
        <v>1.18</v>
      </c>
      <c r="AB37" s="9">
        <v>20.236999999999998</v>
      </c>
      <c r="AF37" s="9">
        <v>0.88</v>
      </c>
      <c r="AG37" s="9">
        <v>21.116</v>
      </c>
      <c r="AK37" s="9">
        <v>0.64</v>
      </c>
      <c r="AL37" s="9">
        <v>21.756</v>
      </c>
      <c r="AP37" s="9">
        <v>0.45700000000000002</v>
      </c>
      <c r="AQ37" s="9">
        <v>22.213000000000001</v>
      </c>
      <c r="AU37" s="9">
        <v>0.41499999999999998</v>
      </c>
      <c r="AV37" s="9">
        <v>22.629000000000001</v>
      </c>
      <c r="AZ37" s="9">
        <v>0.94899999999999995</v>
      </c>
      <c r="BA37" s="9">
        <v>23.577999999999999</v>
      </c>
      <c r="BE37" s="9">
        <v>1.3520000000000001</v>
      </c>
      <c r="BF37" s="9">
        <v>24.93</v>
      </c>
      <c r="BJ37" s="9">
        <v>0.53800000000000003</v>
      </c>
      <c r="BK37" s="9">
        <v>25.468</v>
      </c>
      <c r="BO37" s="9">
        <v>-0.38900000000000001</v>
      </c>
      <c r="BP37" s="9">
        <v>25.08</v>
      </c>
      <c r="BT37" s="9">
        <v>-0.67900000000000005</v>
      </c>
      <c r="BU37" s="9">
        <v>24.401</v>
      </c>
      <c r="BY37" s="9">
        <v>-0.51700000000000002</v>
      </c>
      <c r="BZ37" s="9">
        <v>23.884</v>
      </c>
      <c r="CD37" s="9">
        <v>0.153</v>
      </c>
      <c r="CE37" s="9">
        <v>24.036999999999999</v>
      </c>
      <c r="CI37" s="9">
        <v>0.45800000000000002</v>
      </c>
      <c r="CJ37" s="9">
        <v>24.494</v>
      </c>
      <c r="CN37" s="9">
        <v>0.34300000000000003</v>
      </c>
      <c r="CO37" s="9">
        <v>24.838000000000001</v>
      </c>
      <c r="CS37" s="9">
        <v>0.35099999999999998</v>
      </c>
      <c r="CT37" s="9">
        <v>25.189</v>
      </c>
      <c r="CX37" s="9">
        <v>0.42099999999999999</v>
      </c>
      <c r="CY37" s="9">
        <v>25.61</v>
      </c>
      <c r="DC37" s="9">
        <v>0.51400000000000001</v>
      </c>
      <c r="DD37" s="9">
        <v>26.123999999999999</v>
      </c>
      <c r="DH37" s="9">
        <v>0.57499999999999996</v>
      </c>
      <c r="DI37" s="9">
        <v>26.698</v>
      </c>
      <c r="DM37" s="9">
        <v>0.60699999999999998</v>
      </c>
      <c r="DN37" s="9">
        <v>27.305</v>
      </c>
      <c r="DR37" s="9">
        <v>1.3149999999999999</v>
      </c>
      <c r="DS37" s="9">
        <v>28.619</v>
      </c>
      <c r="DW37" s="9">
        <v>0.77800000000000002</v>
      </c>
      <c r="DX37" s="9">
        <v>29.396999999999998</v>
      </c>
      <c r="EB37" s="9">
        <v>1.613</v>
      </c>
      <c r="EC37" s="9">
        <v>31.01</v>
      </c>
      <c r="EG37" s="9">
        <v>-0.57299999999999995</v>
      </c>
      <c r="EH37" s="9">
        <v>30.437000000000001</v>
      </c>
      <c r="EL37" s="9">
        <v>-9.9149999999999991</v>
      </c>
      <c r="EM37" s="9">
        <v>20.521999999999998</v>
      </c>
      <c r="EQ37" s="9">
        <v>0.01</v>
      </c>
      <c r="ER37" s="9">
        <v>20.533000000000001</v>
      </c>
      <c r="EV37" s="9">
        <v>-1.514</v>
      </c>
      <c r="EW37" s="9">
        <v>19.018999999999998</v>
      </c>
      <c r="FA37" s="9">
        <v>-1.39</v>
      </c>
      <c r="FB37" s="9">
        <v>17.629000000000001</v>
      </c>
      <c r="FF37" s="9">
        <v>-1.266</v>
      </c>
      <c r="FG37" s="9">
        <v>16.363</v>
      </c>
      <c r="FK37" s="9">
        <v>-1.1639999999999999</v>
      </c>
      <c r="FL37" s="9">
        <v>15.199</v>
      </c>
      <c r="FP37" s="9">
        <v>-0.29099999999999998</v>
      </c>
      <c r="FQ37" s="9">
        <v>14.907</v>
      </c>
      <c r="FU37" s="9">
        <v>-0.28100000000000003</v>
      </c>
      <c r="FV37" s="9">
        <v>14.627000000000001</v>
      </c>
      <c r="FZ37" s="9">
        <v>0.28100000000000003</v>
      </c>
      <c r="GA37" s="9">
        <v>14.907</v>
      </c>
      <c r="GE37" s="9">
        <v>-0.97699999999999998</v>
      </c>
      <c r="GF37" s="9">
        <v>13.93</v>
      </c>
      <c r="GJ37" s="9">
        <v>-0.58399999999999996</v>
      </c>
      <c r="GK37" s="9">
        <v>13.346</v>
      </c>
      <c r="GO37" s="9">
        <v>-0.55200000000000005</v>
      </c>
      <c r="GP37" s="9">
        <v>12.795</v>
      </c>
      <c r="GT37" s="9">
        <v>-0.71</v>
      </c>
      <c r="GU37" s="9">
        <v>12.085000000000001</v>
      </c>
      <c r="GY37" s="9">
        <v>-0.39</v>
      </c>
      <c r="GZ37" s="9">
        <v>11.695</v>
      </c>
      <c r="HD37" s="9">
        <v>-0.43</v>
      </c>
      <c r="HE37" s="9">
        <v>11.266</v>
      </c>
      <c r="HI37" s="9">
        <v>-0.221</v>
      </c>
      <c r="HJ37" s="9">
        <v>11.045</v>
      </c>
      <c r="HN37" s="9">
        <v>-0.41599999999999998</v>
      </c>
      <c r="HO37" s="9">
        <v>10.629</v>
      </c>
      <c r="HS37" s="9">
        <v>-0.34599999999999997</v>
      </c>
      <c r="HT37" s="9">
        <v>10.282999999999999</v>
      </c>
      <c r="HX37" s="9">
        <v>-0.33400000000000002</v>
      </c>
      <c r="HY37" s="9">
        <v>9.9480000000000004</v>
      </c>
    </row>
    <row r="38" spans="1:233" x14ac:dyDescent="0.35">
      <c r="B38" s="2" t="s">
        <v>48</v>
      </c>
    </row>
    <row r="39" spans="1:233" x14ac:dyDescent="0.35">
      <c r="A39" s="12" t="s">
        <v>111</v>
      </c>
      <c r="B39" s="12" t="s">
        <v>112</v>
      </c>
      <c r="CJ39" s="9">
        <v>1898.5909999999999</v>
      </c>
      <c r="CK39" s="9">
        <v>65.046000000000006</v>
      </c>
      <c r="CM39" s="9">
        <v>79.965999999999994</v>
      </c>
      <c r="CN39" s="9">
        <v>-8.5129999999999999</v>
      </c>
      <c r="CO39" s="9">
        <v>2035.09</v>
      </c>
      <c r="CP39" s="9">
        <v>79.167000000000002</v>
      </c>
      <c r="CR39" s="9">
        <v>61.223999999999997</v>
      </c>
      <c r="CS39" s="9">
        <v>4.6520000000000001</v>
      </c>
      <c r="CT39" s="9">
        <v>2180.1329999999998</v>
      </c>
      <c r="CU39" s="9">
        <v>59.948999999999998</v>
      </c>
      <c r="CW39" s="9">
        <v>74.7</v>
      </c>
      <c r="CX39" s="9">
        <v>8.5510000000000002</v>
      </c>
      <c r="CY39" s="9">
        <v>2323.3319999999999</v>
      </c>
      <c r="CZ39" s="9">
        <v>83.03</v>
      </c>
      <c r="DB39" s="9">
        <v>207.09299999999999</v>
      </c>
      <c r="DC39" s="9">
        <v>6.6079999999999997</v>
      </c>
      <c r="DD39" s="9">
        <v>2620.0630000000001</v>
      </c>
      <c r="DE39" s="9">
        <v>68.242999999999995</v>
      </c>
      <c r="DG39" s="9">
        <v>24.524999999999999</v>
      </c>
      <c r="DH39" s="9">
        <v>-2.3849999999999998</v>
      </c>
      <c r="DI39" s="9">
        <v>2710.4459999999999</v>
      </c>
      <c r="DJ39" s="9">
        <v>101.61799999999999</v>
      </c>
      <c r="DL39" s="9">
        <v>-163.119</v>
      </c>
      <c r="DM39" s="9">
        <v>-5.7549999999999999</v>
      </c>
      <c r="DN39" s="9">
        <v>2643.19</v>
      </c>
      <c r="DO39" s="9">
        <v>106.94799999999999</v>
      </c>
      <c r="DQ39" s="9">
        <v>-107.809</v>
      </c>
      <c r="DR39" s="9">
        <v>16.332999999999998</v>
      </c>
      <c r="DS39" s="9">
        <v>2658.6619999999998</v>
      </c>
      <c r="DT39" s="9">
        <v>114.434</v>
      </c>
      <c r="DV39" s="9">
        <v>77.700999999999993</v>
      </c>
      <c r="DW39" s="9">
        <v>-9.2469999999999999</v>
      </c>
      <c r="DX39" s="9">
        <v>2841.549</v>
      </c>
      <c r="DY39" s="9">
        <v>82.075000000000003</v>
      </c>
      <c r="EA39" s="9">
        <v>77.293000000000006</v>
      </c>
      <c r="EB39" s="9">
        <v>5.2350000000000003</v>
      </c>
      <c r="EC39" s="9">
        <v>3006.1529999999998</v>
      </c>
      <c r="ED39" s="9">
        <v>129.797</v>
      </c>
      <c r="EF39" s="9">
        <v>109.06100000000001</v>
      </c>
      <c r="EG39" s="9">
        <v>-3.3220000000000001</v>
      </c>
      <c r="EH39" s="9">
        <v>3241.6889999999999</v>
      </c>
      <c r="EI39" s="9">
        <v>140.97399999999999</v>
      </c>
      <c r="EK39" s="9">
        <v>204.917</v>
      </c>
      <c r="EL39" s="9">
        <v>25.332000000000001</v>
      </c>
      <c r="EM39" s="9">
        <v>3612.9110000000001</v>
      </c>
      <c r="EN39" s="9">
        <v>155.268</v>
      </c>
      <c r="EP39" s="9">
        <v>32.057000000000002</v>
      </c>
      <c r="EQ39" s="9">
        <v>18.795999999999999</v>
      </c>
      <c r="ER39" s="9">
        <v>3819.0320000000002</v>
      </c>
      <c r="ES39" s="9">
        <v>117.321</v>
      </c>
      <c r="EU39" s="9">
        <v>-380.15699999999998</v>
      </c>
      <c r="EV39" s="9">
        <v>-11.429</v>
      </c>
      <c r="EW39" s="9">
        <v>3544.7669999999998</v>
      </c>
      <c r="EX39" s="9">
        <v>152.42400000000001</v>
      </c>
      <c r="EZ39" s="9">
        <v>122.718</v>
      </c>
      <c r="FA39" s="9">
        <v>-3.1819999999999999</v>
      </c>
      <c r="FB39" s="9">
        <v>3816.7269999999999</v>
      </c>
      <c r="FC39" s="9">
        <v>172.291</v>
      </c>
      <c r="FE39" s="9">
        <v>81.44</v>
      </c>
      <c r="FF39" s="9">
        <v>7.4050000000000002</v>
      </c>
      <c r="FG39" s="9">
        <v>4077.8629999999998</v>
      </c>
      <c r="FH39" s="9">
        <v>106.569</v>
      </c>
      <c r="FJ39" s="9">
        <v>-74.808000000000007</v>
      </c>
      <c r="FK39" s="9">
        <v>8.0739999999999998</v>
      </c>
      <c r="FL39" s="9">
        <v>4117.6970000000001</v>
      </c>
      <c r="FM39" s="9">
        <v>29.192</v>
      </c>
      <c r="FO39" s="9">
        <v>130.37200000000001</v>
      </c>
      <c r="FP39" s="9">
        <v>1.677</v>
      </c>
      <c r="FQ39" s="9">
        <v>4278.9380000000001</v>
      </c>
      <c r="FR39" s="9">
        <v>104.78700000000001</v>
      </c>
      <c r="FT39" s="9">
        <v>68.677999999999997</v>
      </c>
      <c r="FU39" s="9">
        <v>11.364000000000001</v>
      </c>
      <c r="FV39" s="9">
        <v>4463.7659999999996</v>
      </c>
      <c r="FW39" s="9">
        <v>89.531999999999996</v>
      </c>
      <c r="FY39" s="9">
        <v>65.756</v>
      </c>
      <c r="FZ39" s="9">
        <v>44.551000000000002</v>
      </c>
      <c r="GA39" s="9">
        <v>4663.6049999999996</v>
      </c>
      <c r="GB39" s="9">
        <v>116.327</v>
      </c>
      <c r="GD39" s="9">
        <v>101.233</v>
      </c>
      <c r="GE39" s="9">
        <v>7.5449999999999999</v>
      </c>
      <c r="GF39" s="9">
        <v>4888.71</v>
      </c>
      <c r="GG39" s="9">
        <v>118.214</v>
      </c>
      <c r="GI39" s="9">
        <v>54.531999999999996</v>
      </c>
      <c r="GJ39" s="9">
        <v>167.209</v>
      </c>
      <c r="GK39" s="9">
        <v>5228.665</v>
      </c>
      <c r="GL39" s="9">
        <v>122.497</v>
      </c>
      <c r="GN39" s="9">
        <v>115.009</v>
      </c>
      <c r="GO39" s="9">
        <v>3.258</v>
      </c>
      <c r="GP39" s="9">
        <v>5469.4279999999999</v>
      </c>
      <c r="GQ39" s="9">
        <v>134.501</v>
      </c>
      <c r="GS39" s="9">
        <v>-146.36600000000001</v>
      </c>
      <c r="GT39" s="9">
        <v>-29.116</v>
      </c>
      <c r="GU39" s="9">
        <v>5428.4459999999999</v>
      </c>
      <c r="GV39" s="9">
        <v>135.48699999999999</v>
      </c>
      <c r="GX39" s="9">
        <v>368.28100000000001</v>
      </c>
      <c r="GY39" s="9">
        <v>-5.5170000000000003</v>
      </c>
      <c r="GZ39" s="9">
        <v>5926.6980000000003</v>
      </c>
      <c r="HA39" s="9">
        <v>238.64599999999999</v>
      </c>
      <c r="HC39" s="9">
        <v>67.489000000000004</v>
      </c>
      <c r="HD39" s="9">
        <v>-9.4779999999999998</v>
      </c>
      <c r="HE39" s="9">
        <v>6223.3519999999999</v>
      </c>
      <c r="HF39" s="9">
        <v>195.02199999999999</v>
      </c>
      <c r="HH39" s="9">
        <v>315.363</v>
      </c>
      <c r="HI39" s="9">
        <v>-5.0279999999999996</v>
      </c>
      <c r="HJ39" s="9">
        <v>6728.7110000000002</v>
      </c>
      <c r="HK39" s="9">
        <v>188.04300000000001</v>
      </c>
      <c r="HM39" s="9">
        <v>-540.29200000000003</v>
      </c>
      <c r="HN39" s="9">
        <v>17.329999999999998</v>
      </c>
      <c r="HO39" s="9">
        <v>6393.79</v>
      </c>
      <c r="HP39" s="9">
        <v>156.964</v>
      </c>
      <c r="HR39" s="9">
        <v>265.89600000000002</v>
      </c>
      <c r="HS39" s="9">
        <v>-9.7469999999999999</v>
      </c>
      <c r="HT39" s="9">
        <v>6806.9040000000005</v>
      </c>
      <c r="HU39" s="9">
        <v>156.55799999999999</v>
      </c>
      <c r="HW39" s="9">
        <v>-2.9380000000000002</v>
      </c>
      <c r="HX39" s="9">
        <v>16.632999999999999</v>
      </c>
      <c r="HY39" s="9">
        <v>6977.1559999999999</v>
      </c>
    </row>
    <row r="40" spans="1:233" x14ac:dyDescent="0.35">
      <c r="A40" s="12" t="s">
        <v>113</v>
      </c>
      <c r="B40" s="12" t="s">
        <v>114</v>
      </c>
    </row>
    <row r="41" spans="1:233" x14ac:dyDescent="0.35">
      <c r="A41" s="12" t="s">
        <v>115</v>
      </c>
      <c r="B41" s="12" t="s">
        <v>116</v>
      </c>
      <c r="CJ41" s="9">
        <v>645.42100000000005</v>
      </c>
      <c r="CK41" s="9">
        <v>31.442</v>
      </c>
      <c r="CM41" s="9">
        <v>0.34599999999999997</v>
      </c>
      <c r="CN41" s="9">
        <v>-0.505</v>
      </c>
      <c r="CO41" s="9">
        <v>676.70399999999995</v>
      </c>
      <c r="CP41" s="9">
        <v>39.984999999999999</v>
      </c>
      <c r="CR41" s="9">
        <v>0.73299999999999998</v>
      </c>
      <c r="CS41" s="9">
        <v>0.32400000000000001</v>
      </c>
      <c r="CT41" s="9">
        <v>717.74599999999998</v>
      </c>
      <c r="CU41" s="9">
        <v>34.579000000000001</v>
      </c>
      <c r="CW41" s="9">
        <v>-1.006</v>
      </c>
      <c r="CX41" s="9">
        <v>-1.64</v>
      </c>
      <c r="CY41" s="9">
        <v>749.68</v>
      </c>
      <c r="CZ41" s="9">
        <v>28.815999999999999</v>
      </c>
      <c r="DB41" s="9">
        <v>3.4889999999999999</v>
      </c>
      <c r="DC41" s="9">
        <v>-1.2450000000000001</v>
      </c>
      <c r="DD41" s="9">
        <v>780.74</v>
      </c>
      <c r="DE41" s="9">
        <v>-7.09</v>
      </c>
      <c r="DG41" s="9">
        <v>12.664</v>
      </c>
      <c r="DH41" s="9">
        <v>-13.795</v>
      </c>
      <c r="DI41" s="9">
        <v>772.51900000000001</v>
      </c>
      <c r="DJ41" s="9">
        <v>21.606000000000002</v>
      </c>
      <c r="DL41" s="9">
        <v>3.294</v>
      </c>
      <c r="DM41" s="9">
        <v>-6.2</v>
      </c>
      <c r="DN41" s="9">
        <v>791.21900000000005</v>
      </c>
      <c r="DO41" s="9">
        <v>28.442</v>
      </c>
      <c r="DQ41" s="9">
        <v>5.532</v>
      </c>
      <c r="DR41" s="9">
        <v>14.685</v>
      </c>
      <c r="DS41" s="9">
        <v>839.87800000000004</v>
      </c>
      <c r="DT41" s="9">
        <v>39.707999999999998</v>
      </c>
      <c r="DV41" s="9">
        <v>2.5510000000000002</v>
      </c>
      <c r="DW41" s="9">
        <v>-3.4390000000000001</v>
      </c>
      <c r="DX41" s="9">
        <v>878.69899999999996</v>
      </c>
      <c r="DY41" s="9">
        <v>40.908000000000001</v>
      </c>
      <c r="EA41" s="9">
        <v>0.505</v>
      </c>
      <c r="EB41" s="9">
        <v>-5.4870000000000001</v>
      </c>
      <c r="EC41" s="9">
        <v>914.625</v>
      </c>
      <c r="ED41" s="9">
        <v>38.246000000000002</v>
      </c>
      <c r="EF41" s="9">
        <v>2.484</v>
      </c>
      <c r="EG41" s="9">
        <v>-1.6080000000000001</v>
      </c>
      <c r="EH41" s="9">
        <v>953.74699999999996</v>
      </c>
      <c r="EI41" s="9">
        <v>20.760999999999999</v>
      </c>
      <c r="EK41" s="9">
        <v>0.42799999999999999</v>
      </c>
      <c r="EL41" s="9">
        <v>-1.649</v>
      </c>
      <c r="EM41" s="9">
        <v>973.28700000000003</v>
      </c>
      <c r="EN41" s="9">
        <v>42.902000000000001</v>
      </c>
      <c r="EP41" s="9">
        <v>-2.5230000000000001</v>
      </c>
      <c r="EQ41" s="9">
        <v>0.85699999999999998</v>
      </c>
      <c r="ER41" s="9">
        <v>1014.523</v>
      </c>
      <c r="ES41" s="9">
        <v>41.168999999999997</v>
      </c>
      <c r="EU41" s="9">
        <v>0.13500000000000001</v>
      </c>
      <c r="EV41" s="9">
        <v>0.224</v>
      </c>
      <c r="EW41" s="9">
        <v>1056.0509999999999</v>
      </c>
      <c r="EX41" s="9">
        <v>21.981999999999999</v>
      </c>
      <c r="EZ41" s="9">
        <v>-0.13200000000000001</v>
      </c>
      <c r="FA41" s="9">
        <v>-7.0000000000000007E-2</v>
      </c>
      <c r="FB41" s="9">
        <v>1077.8320000000001</v>
      </c>
      <c r="FC41" s="9">
        <v>31.882999999999999</v>
      </c>
      <c r="FE41" s="9">
        <v>-1E-3</v>
      </c>
      <c r="FF41" s="9">
        <v>0.83199999999999996</v>
      </c>
      <c r="FG41" s="9">
        <v>1110.547</v>
      </c>
      <c r="FH41" s="9">
        <v>49.203000000000003</v>
      </c>
      <c r="FJ41" s="9">
        <v>0.91400000000000003</v>
      </c>
      <c r="FK41" s="9">
        <v>6.3209999999999997</v>
      </c>
      <c r="FL41" s="9">
        <v>1166.9829999999999</v>
      </c>
      <c r="FM41" s="9">
        <v>47.01</v>
      </c>
      <c r="FO41" s="9">
        <v>-0.35199999999999998</v>
      </c>
      <c r="FP41" s="9">
        <v>7.0999999999999994E-2</v>
      </c>
      <c r="FQ41" s="9">
        <v>1213.712</v>
      </c>
      <c r="FR41" s="9">
        <v>30.198</v>
      </c>
      <c r="FT41" s="9">
        <v>-0.67900000000000005</v>
      </c>
      <c r="FU41" s="9">
        <v>3.7509999999999999</v>
      </c>
      <c r="FV41" s="9">
        <v>1246.982</v>
      </c>
      <c r="FW41" s="9">
        <v>17.992000000000001</v>
      </c>
      <c r="FY41" s="9">
        <v>1.29</v>
      </c>
      <c r="FZ41" s="9">
        <v>-2.3220000000000001</v>
      </c>
      <c r="GA41" s="9">
        <v>1263.943</v>
      </c>
      <c r="GB41" s="9">
        <v>41.228999999999999</v>
      </c>
      <c r="GD41" s="9">
        <v>1.9850000000000001</v>
      </c>
      <c r="GE41" s="9">
        <v>-1E-3</v>
      </c>
      <c r="GF41" s="9">
        <v>1307.1569999999999</v>
      </c>
      <c r="GG41" s="9">
        <v>57.04</v>
      </c>
      <c r="GI41" s="9">
        <v>3.1E-2</v>
      </c>
      <c r="GJ41" s="9">
        <v>0</v>
      </c>
      <c r="GK41" s="9">
        <v>1364.229</v>
      </c>
      <c r="GL41" s="9">
        <v>60.966999999999999</v>
      </c>
      <c r="GN41" s="9">
        <v>-2.1960000000000002</v>
      </c>
      <c r="GO41" s="9">
        <v>0</v>
      </c>
      <c r="GP41" s="9">
        <v>1423</v>
      </c>
      <c r="GQ41" s="9">
        <v>67.923000000000002</v>
      </c>
      <c r="GS41" s="9">
        <v>0.79600000000000004</v>
      </c>
      <c r="GT41" s="9">
        <v>0.33500000000000002</v>
      </c>
      <c r="GU41" s="9">
        <v>1492.0540000000001</v>
      </c>
      <c r="GV41" s="9">
        <v>81.453999999999994</v>
      </c>
      <c r="GX41" s="9">
        <v>0.78400000000000003</v>
      </c>
      <c r="GY41" s="9">
        <v>-6.6000000000000003E-2</v>
      </c>
      <c r="GZ41" s="9">
        <v>1574.2270000000001</v>
      </c>
      <c r="HA41" s="9">
        <v>155.75700000000001</v>
      </c>
      <c r="HC41" s="9">
        <v>-1.0589999999999999</v>
      </c>
      <c r="HD41" s="9">
        <v>0</v>
      </c>
      <c r="HE41" s="9">
        <v>1728.925</v>
      </c>
      <c r="HF41" s="9">
        <v>112.458</v>
      </c>
      <c r="HH41" s="9">
        <v>1.6719999999999999</v>
      </c>
      <c r="HI41" s="9">
        <v>8.9999999999999993E-3</v>
      </c>
      <c r="HJ41" s="9">
        <v>1843.0630000000001</v>
      </c>
      <c r="HK41" s="9">
        <v>86.462000000000003</v>
      </c>
      <c r="HM41" s="9">
        <v>0.88300000000000001</v>
      </c>
      <c r="HN41" s="9">
        <v>0</v>
      </c>
      <c r="HO41" s="9">
        <v>1930.4079999999999</v>
      </c>
      <c r="HP41" s="9">
        <v>51.375</v>
      </c>
      <c r="HR41" s="9">
        <v>0.23599999999999999</v>
      </c>
      <c r="HS41" s="9">
        <v>0</v>
      </c>
      <c r="HT41" s="9">
        <v>1982.019</v>
      </c>
      <c r="HU41" s="9">
        <v>29.721</v>
      </c>
      <c r="HW41" s="9">
        <v>0.57999999999999996</v>
      </c>
      <c r="HX41" s="9">
        <v>0</v>
      </c>
      <c r="HY41" s="9">
        <v>2012.3209999999999</v>
      </c>
    </row>
    <row r="42" spans="1:233" x14ac:dyDescent="0.35">
      <c r="A42" s="12" t="s">
        <v>117</v>
      </c>
      <c r="B42" s="12" t="s">
        <v>118</v>
      </c>
      <c r="CJ42" s="9">
        <v>109.351</v>
      </c>
      <c r="CK42" s="9">
        <v>-4.0750000000000002</v>
      </c>
      <c r="CM42" s="9">
        <v>-3.8969999999999998</v>
      </c>
      <c r="CN42" s="9">
        <v>0</v>
      </c>
      <c r="CO42" s="9">
        <v>101.379</v>
      </c>
      <c r="CP42" s="9">
        <v>-20.678999999999998</v>
      </c>
      <c r="CR42" s="9">
        <v>7.6870000000000003</v>
      </c>
      <c r="CS42" s="9">
        <v>0</v>
      </c>
      <c r="CT42" s="9">
        <v>88.385999999999996</v>
      </c>
      <c r="CU42" s="9">
        <v>-14.957000000000001</v>
      </c>
      <c r="CW42" s="9">
        <v>6.742</v>
      </c>
      <c r="CX42" s="9">
        <v>7.4859999999999998</v>
      </c>
      <c r="CY42" s="9">
        <v>87.656999999999996</v>
      </c>
      <c r="CZ42" s="9">
        <v>-0.93100000000000005</v>
      </c>
      <c r="DB42" s="9">
        <v>-10.863</v>
      </c>
      <c r="DC42" s="9">
        <v>-1.75</v>
      </c>
      <c r="DD42" s="9">
        <v>74.113</v>
      </c>
      <c r="DE42" s="9">
        <v>1.3120000000000001</v>
      </c>
      <c r="DG42" s="9">
        <v>5.0910000000000002</v>
      </c>
      <c r="DH42" s="9">
        <v>10.010999999999999</v>
      </c>
      <c r="DI42" s="9">
        <v>90.525999999999996</v>
      </c>
      <c r="DJ42" s="9">
        <v>8.6430000000000007</v>
      </c>
      <c r="DL42" s="9">
        <v>-3.9060000000000001</v>
      </c>
      <c r="DM42" s="9">
        <v>0</v>
      </c>
      <c r="DN42" s="9">
        <v>95.263000000000005</v>
      </c>
      <c r="DO42" s="9">
        <v>-5.3639999999999999</v>
      </c>
      <c r="DQ42" s="9">
        <v>-7.2759999999999998</v>
      </c>
      <c r="DR42" s="9">
        <v>0</v>
      </c>
      <c r="DS42" s="9">
        <v>82.623000000000005</v>
      </c>
      <c r="DT42" s="9">
        <v>-7.9340000000000002</v>
      </c>
      <c r="DV42" s="9">
        <v>-3.98</v>
      </c>
      <c r="DW42" s="9">
        <v>0</v>
      </c>
      <c r="DX42" s="9">
        <v>70.709000000000003</v>
      </c>
      <c r="DY42" s="9">
        <v>-0.34100000000000003</v>
      </c>
      <c r="EA42" s="9">
        <v>-1.958</v>
      </c>
      <c r="EB42" s="9">
        <v>0</v>
      </c>
      <c r="EC42" s="9">
        <v>68.41</v>
      </c>
      <c r="ED42" s="9">
        <v>3.4489999999999998</v>
      </c>
      <c r="EF42" s="9">
        <v>-2.7109999999999999</v>
      </c>
      <c r="EG42" s="9">
        <v>0</v>
      </c>
      <c r="EH42" s="9">
        <v>69.147999999999996</v>
      </c>
      <c r="EI42" s="9">
        <v>2.0939999999999999</v>
      </c>
      <c r="EK42" s="9">
        <v>-7.2590000000000003</v>
      </c>
      <c r="EL42" s="9">
        <v>0</v>
      </c>
      <c r="EM42" s="9">
        <v>63.982999999999997</v>
      </c>
      <c r="EN42" s="9">
        <v>4.9640000000000004</v>
      </c>
      <c r="EP42" s="9">
        <v>-0.9</v>
      </c>
      <c r="EQ42" s="9">
        <v>0</v>
      </c>
      <c r="ER42" s="9">
        <v>68.046000000000006</v>
      </c>
      <c r="ES42" s="9">
        <v>1.143</v>
      </c>
      <c r="EU42" s="9">
        <v>2.468</v>
      </c>
      <c r="EV42" s="9">
        <v>0</v>
      </c>
      <c r="EW42" s="9">
        <v>71.658000000000001</v>
      </c>
      <c r="EX42" s="9">
        <v>7.9530000000000003</v>
      </c>
      <c r="EZ42" s="9">
        <v>3.8119999999999998</v>
      </c>
      <c r="FA42" s="9">
        <v>0</v>
      </c>
      <c r="FB42" s="9">
        <v>83.423000000000002</v>
      </c>
      <c r="FC42" s="9">
        <v>-6.6769999999999996</v>
      </c>
      <c r="FE42" s="9">
        <v>-0.254</v>
      </c>
      <c r="FF42" s="9">
        <v>0</v>
      </c>
      <c r="FG42" s="9">
        <v>76.492999999999995</v>
      </c>
      <c r="FH42" s="9">
        <v>2.1080000000000001</v>
      </c>
      <c r="FJ42" s="9">
        <v>-2.9159999999999999</v>
      </c>
      <c r="FK42" s="9">
        <v>0</v>
      </c>
      <c r="FL42" s="9">
        <v>75.685000000000002</v>
      </c>
      <c r="FM42" s="9">
        <v>3.9729999999999999</v>
      </c>
      <c r="FO42" s="9">
        <v>4.3040000000000003</v>
      </c>
      <c r="FP42" s="9">
        <v>0</v>
      </c>
      <c r="FQ42" s="9">
        <v>83.962000000000003</v>
      </c>
      <c r="FR42" s="9">
        <v>-5.3360000000000003</v>
      </c>
      <c r="FT42" s="9">
        <v>4.4720000000000004</v>
      </c>
      <c r="FU42" s="9">
        <v>0</v>
      </c>
      <c r="FV42" s="9">
        <v>83.097999999999999</v>
      </c>
      <c r="FW42" s="9">
        <v>-15.858000000000001</v>
      </c>
      <c r="FY42" s="9">
        <v>2.903</v>
      </c>
      <c r="FZ42" s="9">
        <v>2.286</v>
      </c>
      <c r="GA42" s="9">
        <v>72.427999999999997</v>
      </c>
      <c r="GB42" s="9">
        <v>-11.244999999999999</v>
      </c>
      <c r="GD42" s="9">
        <v>-1.1950000000000001</v>
      </c>
      <c r="GE42" s="9">
        <v>0</v>
      </c>
      <c r="GF42" s="9">
        <v>59.988999999999997</v>
      </c>
      <c r="GG42" s="9">
        <v>-5.1420000000000003</v>
      </c>
      <c r="GI42" s="9">
        <v>0.622</v>
      </c>
      <c r="GJ42" s="9">
        <v>-1.1599999999999999</v>
      </c>
      <c r="GK42" s="9">
        <v>54.308</v>
      </c>
      <c r="GL42" s="9">
        <v>-6.16</v>
      </c>
      <c r="GN42" s="9">
        <v>-0.81399999999999995</v>
      </c>
      <c r="GO42" s="9">
        <v>0</v>
      </c>
      <c r="GP42" s="9">
        <v>47.334000000000003</v>
      </c>
      <c r="GQ42" s="9">
        <v>-4.8479999999999999</v>
      </c>
      <c r="GS42" s="9">
        <v>-1.76</v>
      </c>
      <c r="GT42" s="9">
        <v>0</v>
      </c>
      <c r="GU42" s="9">
        <v>40.725999999999999</v>
      </c>
      <c r="GV42" s="9">
        <v>-2.85</v>
      </c>
      <c r="GX42" s="9">
        <v>1.4650000000000001</v>
      </c>
      <c r="GY42" s="9">
        <v>0</v>
      </c>
      <c r="GZ42" s="9">
        <v>39.341000000000001</v>
      </c>
      <c r="HA42" s="9">
        <v>-3.625</v>
      </c>
      <c r="HC42" s="9">
        <v>-1.3460000000000001</v>
      </c>
      <c r="HD42" s="9">
        <v>0</v>
      </c>
      <c r="HE42" s="9">
        <v>34.369</v>
      </c>
      <c r="HF42" s="9">
        <v>-0.48499999999999999</v>
      </c>
      <c r="HH42" s="9">
        <v>-8.6999999999999994E-2</v>
      </c>
      <c r="HI42" s="9">
        <v>-0.84699999999999998</v>
      </c>
      <c r="HJ42" s="9">
        <v>32.950000000000003</v>
      </c>
      <c r="HK42" s="9">
        <v>5.1239999999999997</v>
      </c>
      <c r="HM42" s="9">
        <v>-3.508</v>
      </c>
      <c r="HN42" s="9">
        <v>8.6999999999999994E-2</v>
      </c>
      <c r="HO42" s="9">
        <v>34.652999999999999</v>
      </c>
      <c r="HP42" s="9">
        <v>10.02</v>
      </c>
      <c r="HR42" s="9">
        <v>0.76500000000000001</v>
      </c>
      <c r="HS42" s="9">
        <v>0</v>
      </c>
      <c r="HT42" s="9">
        <v>45.438000000000002</v>
      </c>
      <c r="HU42" s="9">
        <v>3.59</v>
      </c>
      <c r="HW42" s="9">
        <v>1.18</v>
      </c>
      <c r="HX42" s="9">
        <v>0</v>
      </c>
      <c r="HY42" s="9">
        <v>50.207999999999998</v>
      </c>
    </row>
    <row r="43" spans="1:233" x14ac:dyDescent="0.35">
      <c r="A43" s="12" t="s">
        <v>119</v>
      </c>
      <c r="B43" s="12" t="s">
        <v>120</v>
      </c>
      <c r="CJ43" s="9">
        <v>26.59</v>
      </c>
      <c r="CK43" s="9">
        <v>0.24099999999999999</v>
      </c>
      <c r="CM43" s="9">
        <v>0</v>
      </c>
      <c r="CN43" s="9">
        <v>0</v>
      </c>
      <c r="CO43" s="9">
        <v>26.831</v>
      </c>
      <c r="CP43" s="9">
        <v>7.1420000000000003</v>
      </c>
      <c r="CR43" s="9">
        <v>0</v>
      </c>
      <c r="CS43" s="9">
        <v>0</v>
      </c>
      <c r="CT43" s="9">
        <v>33.973999999999997</v>
      </c>
      <c r="CU43" s="9">
        <v>-9.4239999999999995</v>
      </c>
      <c r="CW43" s="9">
        <v>0</v>
      </c>
      <c r="CX43" s="9">
        <v>2.9000000000000001E-2</v>
      </c>
      <c r="CY43" s="9">
        <v>24.579000000000001</v>
      </c>
      <c r="CZ43" s="9">
        <v>-5.4020000000000001</v>
      </c>
      <c r="DB43" s="9">
        <v>1E-3</v>
      </c>
      <c r="DC43" s="9">
        <v>1E-3</v>
      </c>
      <c r="DD43" s="9">
        <v>19.178000000000001</v>
      </c>
      <c r="DE43" s="9">
        <v>1.5860000000000001</v>
      </c>
      <c r="DG43" s="9">
        <v>0</v>
      </c>
      <c r="DH43" s="9">
        <v>0</v>
      </c>
      <c r="DI43" s="9">
        <v>20.765000000000001</v>
      </c>
      <c r="DJ43" s="9">
        <v>-0.309</v>
      </c>
      <c r="DL43" s="9">
        <v>0</v>
      </c>
      <c r="DM43" s="9">
        <v>-1E-3</v>
      </c>
      <c r="DN43" s="9">
        <v>20.454999999999998</v>
      </c>
      <c r="DO43" s="9">
        <v>-1.54</v>
      </c>
      <c r="DQ43" s="9">
        <v>0</v>
      </c>
      <c r="DR43" s="9">
        <v>0</v>
      </c>
      <c r="DS43" s="9">
        <v>18.914999999999999</v>
      </c>
      <c r="DT43" s="9">
        <v>2.319</v>
      </c>
      <c r="DV43" s="9">
        <v>0</v>
      </c>
      <c r="DW43" s="9">
        <v>1E-3</v>
      </c>
      <c r="DX43" s="9">
        <v>21.234999999999999</v>
      </c>
      <c r="DY43" s="9">
        <v>-1.732</v>
      </c>
      <c r="EA43" s="9">
        <v>0</v>
      </c>
      <c r="EB43" s="9">
        <v>0</v>
      </c>
      <c r="EC43" s="9">
        <v>19.503</v>
      </c>
      <c r="ED43" s="9">
        <v>0.64100000000000001</v>
      </c>
      <c r="EF43" s="9">
        <v>0</v>
      </c>
      <c r="EG43" s="9">
        <v>0</v>
      </c>
      <c r="EH43" s="9">
        <v>20.143999999999998</v>
      </c>
      <c r="EI43" s="9">
        <v>3.1469999999999998</v>
      </c>
      <c r="EK43" s="9">
        <v>0</v>
      </c>
      <c r="EL43" s="9">
        <v>0</v>
      </c>
      <c r="EM43" s="9">
        <v>23.292000000000002</v>
      </c>
      <c r="EN43" s="9">
        <v>-0.442</v>
      </c>
      <c r="EP43" s="9">
        <v>0</v>
      </c>
      <c r="EQ43" s="9">
        <v>0</v>
      </c>
      <c r="ER43" s="9">
        <v>22.85</v>
      </c>
      <c r="ES43" s="9">
        <v>9.4740000000000002</v>
      </c>
      <c r="EU43" s="9">
        <v>0</v>
      </c>
      <c r="EV43" s="9">
        <v>0</v>
      </c>
      <c r="EW43" s="9">
        <v>32.323999999999998</v>
      </c>
      <c r="EX43" s="9">
        <v>-6.5019999999999998</v>
      </c>
      <c r="EZ43" s="9">
        <v>0</v>
      </c>
      <c r="FA43" s="9">
        <v>0</v>
      </c>
      <c r="FB43" s="9">
        <v>25.821999999999999</v>
      </c>
      <c r="FC43" s="9">
        <v>0.67500000000000004</v>
      </c>
      <c r="FE43" s="9">
        <v>0</v>
      </c>
      <c r="FF43" s="9">
        <v>-6.0000000000000001E-3</v>
      </c>
      <c r="FG43" s="9">
        <v>26.49</v>
      </c>
      <c r="FH43" s="9">
        <v>1.29</v>
      </c>
      <c r="FJ43" s="9">
        <v>0</v>
      </c>
      <c r="FK43" s="9">
        <v>0</v>
      </c>
      <c r="FL43" s="9">
        <v>27.78</v>
      </c>
      <c r="FM43" s="9">
        <v>0.82399999999999995</v>
      </c>
      <c r="FO43" s="9">
        <v>0</v>
      </c>
      <c r="FP43" s="9">
        <v>0</v>
      </c>
      <c r="FQ43" s="9">
        <v>28.603999999999999</v>
      </c>
      <c r="FR43" s="9">
        <v>1.2</v>
      </c>
      <c r="FT43" s="9">
        <v>0</v>
      </c>
      <c r="FU43" s="9">
        <v>-0.442</v>
      </c>
      <c r="FV43" s="9">
        <v>29.361999999999998</v>
      </c>
      <c r="FW43" s="9">
        <v>0.93200000000000005</v>
      </c>
      <c r="FY43" s="9">
        <v>0</v>
      </c>
      <c r="FZ43" s="9">
        <v>9.8000000000000004E-2</v>
      </c>
      <c r="GA43" s="9">
        <v>30.391999999999999</v>
      </c>
      <c r="GB43" s="9">
        <v>1.026</v>
      </c>
      <c r="GD43" s="9">
        <v>0</v>
      </c>
      <c r="GE43" s="9">
        <v>-5.0000000000000001E-3</v>
      </c>
      <c r="GF43" s="9">
        <v>31.413</v>
      </c>
      <c r="GG43" s="9">
        <v>1.1439999999999999</v>
      </c>
      <c r="GI43" s="9">
        <v>0</v>
      </c>
      <c r="GJ43" s="9">
        <v>-22.32</v>
      </c>
      <c r="GK43" s="9">
        <v>10.238</v>
      </c>
      <c r="GL43" s="9">
        <v>0.17499999999999999</v>
      </c>
      <c r="GN43" s="9">
        <v>0</v>
      </c>
      <c r="GO43" s="9">
        <v>0.11899999999999999</v>
      </c>
      <c r="GP43" s="9">
        <v>10.531000000000001</v>
      </c>
      <c r="GQ43" s="9">
        <v>0.107</v>
      </c>
      <c r="GS43" s="9">
        <v>0</v>
      </c>
      <c r="GT43" s="9">
        <v>0</v>
      </c>
      <c r="GU43" s="9">
        <v>10.638</v>
      </c>
      <c r="GV43" s="9">
        <v>-0.03</v>
      </c>
      <c r="GX43" s="9">
        <v>0</v>
      </c>
      <c r="GY43" s="9">
        <v>-8.0000000000000002E-3</v>
      </c>
      <c r="GZ43" s="9">
        <v>10.6</v>
      </c>
      <c r="HA43" s="9">
        <v>0.40799999999999997</v>
      </c>
      <c r="HC43" s="9">
        <v>0</v>
      </c>
      <c r="HD43" s="9">
        <v>0</v>
      </c>
      <c r="HE43" s="9">
        <v>11.005000000000001</v>
      </c>
      <c r="HF43" s="9">
        <v>-2E-3</v>
      </c>
      <c r="HH43" s="9">
        <v>0</v>
      </c>
      <c r="HI43" s="9">
        <v>0</v>
      </c>
      <c r="HJ43" s="9">
        <v>11.006</v>
      </c>
      <c r="HK43" s="9">
        <v>3.5999999999999997E-2</v>
      </c>
      <c r="HM43" s="9">
        <v>0</v>
      </c>
      <c r="HN43" s="9">
        <v>-0.18</v>
      </c>
      <c r="HO43" s="9">
        <v>10.862</v>
      </c>
      <c r="HP43" s="9">
        <v>0.78400000000000003</v>
      </c>
      <c r="HR43" s="9">
        <v>0</v>
      </c>
      <c r="HS43" s="9">
        <v>1.0999999999999999E-2</v>
      </c>
      <c r="HT43" s="9">
        <v>11.656000000000001</v>
      </c>
      <c r="HU43" s="9">
        <v>-0.36499999999999999</v>
      </c>
      <c r="HW43" s="9">
        <v>0</v>
      </c>
      <c r="HX43" s="9">
        <v>-3.0000000000000001E-3</v>
      </c>
      <c r="HY43" s="9">
        <v>11.289</v>
      </c>
    </row>
    <row r="44" spans="1:233" x14ac:dyDescent="0.35">
      <c r="A44" s="12" t="s">
        <v>121</v>
      </c>
      <c r="B44" s="12" t="s">
        <v>122</v>
      </c>
      <c r="CJ44" s="9">
        <v>657.74699999999996</v>
      </c>
      <c r="CK44" s="9">
        <v>-29.658000000000001</v>
      </c>
      <c r="CM44" s="9">
        <v>83.605999999999995</v>
      </c>
      <c r="CN44" s="9">
        <v>-8.0079999999999991</v>
      </c>
      <c r="CO44" s="9">
        <v>703.68600000000004</v>
      </c>
      <c r="CP44" s="9">
        <v>-28.123999999999999</v>
      </c>
      <c r="CR44" s="9">
        <v>52.838000000000001</v>
      </c>
      <c r="CS44" s="9">
        <v>4.9130000000000003</v>
      </c>
      <c r="CT44" s="9">
        <v>733.31299999999999</v>
      </c>
      <c r="CU44" s="9">
        <v>-5.2590000000000003</v>
      </c>
      <c r="CW44" s="9">
        <v>65.951999999999998</v>
      </c>
      <c r="CX44" s="9">
        <v>3.5339999999999998</v>
      </c>
      <c r="CY44" s="9">
        <v>797.53899999999999</v>
      </c>
      <c r="CZ44" s="9">
        <v>-27.283000000000001</v>
      </c>
      <c r="DB44" s="9">
        <v>202.447</v>
      </c>
      <c r="DC44" s="9">
        <v>3.7440000000000002</v>
      </c>
      <c r="DD44" s="9">
        <v>976.44600000000003</v>
      </c>
      <c r="DE44" s="9">
        <v>-7.5679999999999996</v>
      </c>
      <c r="DG44" s="9">
        <v>12.794</v>
      </c>
      <c r="DH44" s="9">
        <v>0.55800000000000005</v>
      </c>
      <c r="DI44" s="9">
        <v>982.23099999999999</v>
      </c>
      <c r="DJ44" s="9">
        <v>8.4459999999999997</v>
      </c>
      <c r="DL44" s="9">
        <v>-146.19</v>
      </c>
      <c r="DM44" s="9">
        <v>0.45600000000000002</v>
      </c>
      <c r="DN44" s="9">
        <v>844.94200000000001</v>
      </c>
      <c r="DO44" s="9">
        <v>13.789</v>
      </c>
      <c r="DQ44" s="9">
        <v>-83.004000000000005</v>
      </c>
      <c r="DR44" s="9">
        <v>-0.83099999999999996</v>
      </c>
      <c r="DS44" s="9">
        <v>774.89599999999996</v>
      </c>
      <c r="DT44" s="9">
        <v>10.922000000000001</v>
      </c>
      <c r="DV44" s="9">
        <v>72.77</v>
      </c>
      <c r="DW44" s="9">
        <v>8.3000000000000004E-2</v>
      </c>
      <c r="DX44" s="9">
        <v>858.67100000000005</v>
      </c>
      <c r="DY44" s="9">
        <v>-17.105</v>
      </c>
      <c r="EA44" s="9">
        <v>68.95</v>
      </c>
      <c r="EB44" s="9">
        <v>10.718999999999999</v>
      </c>
      <c r="EC44" s="9">
        <v>921.23500000000001</v>
      </c>
      <c r="ED44" s="9">
        <v>-16.637</v>
      </c>
      <c r="EF44" s="9">
        <v>92.733000000000004</v>
      </c>
      <c r="EG44" s="9">
        <v>-1.724</v>
      </c>
      <c r="EH44" s="9">
        <v>995.60699999999997</v>
      </c>
      <c r="EI44" s="9">
        <v>15.404999999999999</v>
      </c>
      <c r="EK44" s="9">
        <v>187.99</v>
      </c>
      <c r="EL44" s="9">
        <v>-1.5389999999999999</v>
      </c>
      <c r="EM44" s="9">
        <v>1197.463</v>
      </c>
      <c r="EN44" s="9">
        <v>-1.1839999999999999</v>
      </c>
      <c r="EP44" s="9">
        <v>34.39</v>
      </c>
      <c r="EQ44" s="9">
        <v>9.2309999999999999</v>
      </c>
      <c r="ER44" s="9">
        <v>1239.8989999999999</v>
      </c>
      <c r="ES44" s="9">
        <v>-8.0909999999999993</v>
      </c>
      <c r="EU44" s="9">
        <v>-345.95299999999997</v>
      </c>
      <c r="EV44" s="9">
        <v>1.423</v>
      </c>
      <c r="EW44" s="9">
        <v>887.27800000000002</v>
      </c>
      <c r="EX44" s="9">
        <v>-21.177</v>
      </c>
      <c r="EZ44" s="9">
        <v>91.846000000000004</v>
      </c>
      <c r="FA44" s="9">
        <v>6.4370000000000003</v>
      </c>
      <c r="FB44" s="9">
        <v>964.38400000000001</v>
      </c>
      <c r="FC44" s="9">
        <v>-9.8610000000000007</v>
      </c>
      <c r="FE44" s="9">
        <v>68.433000000000007</v>
      </c>
      <c r="FF44" s="9">
        <v>5.5919999999999996</v>
      </c>
      <c r="FG44" s="9">
        <v>1028.548</v>
      </c>
      <c r="FH44" s="9">
        <v>0.96699999999999997</v>
      </c>
      <c r="FJ44" s="9">
        <v>-62.926000000000002</v>
      </c>
      <c r="FK44" s="9">
        <v>-2.863</v>
      </c>
      <c r="FL44" s="9">
        <v>963.72500000000002</v>
      </c>
      <c r="FM44" s="9">
        <v>10.255000000000001</v>
      </c>
      <c r="FO44" s="9">
        <v>100.79300000000001</v>
      </c>
      <c r="FP44" s="9">
        <v>1.621</v>
      </c>
      <c r="FQ44" s="9">
        <v>1076.394</v>
      </c>
      <c r="FR44" s="9">
        <v>8.5459999999999994</v>
      </c>
      <c r="FT44" s="9">
        <v>43.851999999999997</v>
      </c>
      <c r="FU44" s="9">
        <v>3.883</v>
      </c>
      <c r="FV44" s="9">
        <v>1132.675</v>
      </c>
      <c r="FW44" s="9">
        <v>6.2E-2</v>
      </c>
      <c r="FY44" s="9">
        <v>41.293999999999997</v>
      </c>
      <c r="FZ44" s="9">
        <v>40.912999999999997</v>
      </c>
      <c r="GA44" s="9">
        <v>1214.9449999999999</v>
      </c>
      <c r="GB44" s="9">
        <v>20.622</v>
      </c>
      <c r="GD44" s="9">
        <v>86.552000000000007</v>
      </c>
      <c r="GE44" s="9">
        <v>7.5460000000000003</v>
      </c>
      <c r="GF44" s="9">
        <v>1329.665</v>
      </c>
      <c r="GG44" s="9">
        <v>5.484</v>
      </c>
      <c r="GI44" s="9">
        <v>44.793999999999997</v>
      </c>
      <c r="GJ44" s="9">
        <v>18.233000000000001</v>
      </c>
      <c r="GK44" s="9">
        <v>1398.1759999999999</v>
      </c>
      <c r="GL44" s="9">
        <v>11.832000000000001</v>
      </c>
      <c r="GN44" s="9">
        <v>122.312</v>
      </c>
      <c r="GO44" s="9">
        <v>2.452</v>
      </c>
      <c r="GP44" s="9">
        <v>1534.7719999999999</v>
      </c>
      <c r="GQ44" s="9">
        <v>17.047000000000001</v>
      </c>
      <c r="GS44" s="9">
        <v>-81.728999999999999</v>
      </c>
      <c r="GT44" s="9">
        <v>-22.143999999999998</v>
      </c>
      <c r="GU44" s="9">
        <v>1447.9469999999999</v>
      </c>
      <c r="GV44" s="9">
        <v>-14.798999999999999</v>
      </c>
      <c r="GX44" s="9">
        <v>232.14599999999999</v>
      </c>
      <c r="GY44" s="9">
        <v>-7.0919999999999996</v>
      </c>
      <c r="GZ44" s="9">
        <v>1658.202</v>
      </c>
      <c r="HA44" s="9">
        <v>43.694000000000003</v>
      </c>
      <c r="HC44" s="9">
        <v>18.456</v>
      </c>
      <c r="HD44" s="9">
        <v>-8.6289999999999996</v>
      </c>
      <c r="HE44" s="9">
        <v>1711.723</v>
      </c>
      <c r="HF44" s="9">
        <v>10.327</v>
      </c>
      <c r="HH44" s="9">
        <v>310.416</v>
      </c>
      <c r="HI44" s="9">
        <v>3.7229999999999999</v>
      </c>
      <c r="HJ44" s="9">
        <v>2036.19</v>
      </c>
      <c r="HK44" s="9">
        <v>43.890999999999998</v>
      </c>
      <c r="HM44" s="9">
        <v>-209.81299999999999</v>
      </c>
      <c r="HN44" s="9">
        <v>16.422000000000001</v>
      </c>
      <c r="HO44" s="9">
        <v>1886.6890000000001</v>
      </c>
      <c r="HP44" s="9">
        <v>34.963999999999999</v>
      </c>
      <c r="HR44" s="9">
        <v>195.56200000000001</v>
      </c>
      <c r="HS44" s="9">
        <v>-10.585000000000001</v>
      </c>
      <c r="HT44" s="9">
        <v>2106.6289999999999</v>
      </c>
      <c r="HU44" s="9">
        <v>41.347999999999999</v>
      </c>
      <c r="HW44" s="9">
        <v>-28.068999999999999</v>
      </c>
      <c r="HX44" s="9">
        <v>16.951000000000001</v>
      </c>
      <c r="HY44" s="9">
        <v>2136.8589999999999</v>
      </c>
    </row>
    <row r="45" spans="1:233" x14ac:dyDescent="0.35">
      <c r="A45" s="12" t="s">
        <v>123</v>
      </c>
      <c r="B45" s="12" t="s">
        <v>320</v>
      </c>
      <c r="CJ45" s="9">
        <v>94.075999999999993</v>
      </c>
      <c r="CK45" s="9">
        <v>1.1020000000000001</v>
      </c>
      <c r="CM45" s="9">
        <v>17.716000000000001</v>
      </c>
      <c r="CN45" s="9">
        <v>-1.319</v>
      </c>
      <c r="CO45" s="9">
        <v>111.575</v>
      </c>
      <c r="CP45" s="9">
        <v>-1.958</v>
      </c>
      <c r="CR45" s="9">
        <v>12.044</v>
      </c>
      <c r="CS45" s="9">
        <v>-4.0960000000000001</v>
      </c>
      <c r="CT45" s="9">
        <v>117.566</v>
      </c>
      <c r="CU45" s="9">
        <v>-4.7969999999999997</v>
      </c>
      <c r="CW45" s="9">
        <v>27.452000000000002</v>
      </c>
      <c r="CX45" s="9">
        <v>6.5750000000000002</v>
      </c>
      <c r="CY45" s="9">
        <v>146.79599999999999</v>
      </c>
      <c r="CZ45" s="9">
        <v>-6.33</v>
      </c>
      <c r="DB45" s="9">
        <v>38.817999999999998</v>
      </c>
      <c r="DC45" s="9">
        <v>1.2809999999999999</v>
      </c>
      <c r="DD45" s="9">
        <v>180.56399999999999</v>
      </c>
      <c r="DE45" s="9">
        <v>-12.747999999999999</v>
      </c>
      <c r="DG45" s="9">
        <v>13.026</v>
      </c>
      <c r="DH45" s="9">
        <v>16.148</v>
      </c>
      <c r="DI45" s="9">
        <v>196.99</v>
      </c>
      <c r="DJ45" s="9">
        <v>0.48699999999999999</v>
      </c>
      <c r="DL45" s="9">
        <v>-54.154000000000003</v>
      </c>
      <c r="DM45" s="9">
        <v>13.856999999999999</v>
      </c>
      <c r="DN45" s="9">
        <v>157.18</v>
      </c>
      <c r="DO45" s="9">
        <v>3.8130000000000002</v>
      </c>
      <c r="DQ45" s="9">
        <v>-48.351999999999997</v>
      </c>
      <c r="DR45" s="9">
        <v>-1.6439999999999999</v>
      </c>
      <c r="DS45" s="9">
        <v>110.997</v>
      </c>
      <c r="DT45" s="9">
        <v>3.1459999999999999</v>
      </c>
      <c r="DV45" s="9">
        <v>18.579999999999998</v>
      </c>
      <c r="DW45" s="9">
        <v>-2.4319999999999999</v>
      </c>
      <c r="DX45" s="9">
        <v>130.292</v>
      </c>
      <c r="DY45" s="9">
        <v>-0.88800000000000001</v>
      </c>
      <c r="EA45" s="9">
        <v>4.0380000000000003</v>
      </c>
      <c r="EB45" s="9">
        <v>5.45</v>
      </c>
      <c r="EC45" s="9">
        <v>138.89099999999999</v>
      </c>
      <c r="ED45" s="9">
        <v>4.9279999999999999</v>
      </c>
      <c r="EF45" s="9">
        <v>37.47</v>
      </c>
      <c r="EG45" s="9">
        <v>-0.58699999999999997</v>
      </c>
      <c r="EH45" s="9">
        <v>180.702</v>
      </c>
      <c r="EI45" s="9">
        <v>-3.5369999999999999</v>
      </c>
      <c r="EK45" s="9">
        <v>34.674999999999997</v>
      </c>
      <c r="EL45" s="9">
        <v>0.11799999999999999</v>
      </c>
      <c r="EM45" s="9">
        <v>211.958</v>
      </c>
      <c r="EN45" s="9">
        <v>-3.0990000000000002</v>
      </c>
      <c r="EP45" s="9">
        <v>-6.7809999999999997</v>
      </c>
      <c r="EQ45" s="9">
        <v>2.1589999999999998</v>
      </c>
      <c r="ER45" s="9">
        <v>204.23699999999999</v>
      </c>
      <c r="ES45" s="9">
        <v>-11.287000000000001</v>
      </c>
      <c r="EU45" s="9">
        <v>-73.995000000000005</v>
      </c>
      <c r="EV45" s="9">
        <v>-8.2889999999999997</v>
      </c>
      <c r="EW45" s="9">
        <v>110.667</v>
      </c>
      <c r="EX45" s="9">
        <v>0.64100000000000001</v>
      </c>
      <c r="EZ45" s="9">
        <v>35.543999999999997</v>
      </c>
      <c r="FA45" s="9">
        <v>-4.8600000000000003</v>
      </c>
      <c r="FB45" s="9">
        <v>141.99199999999999</v>
      </c>
      <c r="FC45" s="9">
        <v>5.2480000000000002</v>
      </c>
      <c r="FE45" s="9">
        <v>9.0370000000000008</v>
      </c>
      <c r="FF45" s="9">
        <v>5.2750000000000004</v>
      </c>
      <c r="FG45" s="9">
        <v>161.55199999999999</v>
      </c>
      <c r="FH45" s="9">
        <v>3.0790000000000002</v>
      </c>
      <c r="FJ45" s="9">
        <v>-25.207999999999998</v>
      </c>
      <c r="FK45" s="9">
        <v>-6.9379999999999997</v>
      </c>
      <c r="FL45" s="9">
        <v>132.48400000000001</v>
      </c>
      <c r="FM45" s="9">
        <v>-3.742</v>
      </c>
      <c r="FO45" s="9">
        <v>21.93</v>
      </c>
      <c r="FP45" s="9">
        <v>6.0999999999999999E-2</v>
      </c>
      <c r="FQ45" s="9">
        <v>150.733</v>
      </c>
      <c r="FR45" s="9">
        <v>-9.0380000000000003</v>
      </c>
      <c r="FT45" s="9">
        <v>31.172999999999998</v>
      </c>
      <c r="FU45" s="9">
        <v>2.754</v>
      </c>
      <c r="FV45" s="9">
        <v>175.62299999999999</v>
      </c>
      <c r="FW45" s="9">
        <v>6.351</v>
      </c>
      <c r="FY45" s="9">
        <v>5.18</v>
      </c>
      <c r="FZ45" s="9">
        <v>-3.0630000000000002</v>
      </c>
      <c r="GA45" s="9">
        <v>184.09100000000001</v>
      </c>
      <c r="GB45" s="9">
        <v>7.6689999999999996</v>
      </c>
      <c r="GD45" s="9">
        <v>14.651</v>
      </c>
      <c r="GE45" s="9">
        <v>6.3049999999999997</v>
      </c>
      <c r="GF45" s="9">
        <v>212.715</v>
      </c>
      <c r="GG45" s="9">
        <v>-4.6040000000000001</v>
      </c>
      <c r="GI45" s="9">
        <v>9.5259999999999998</v>
      </c>
      <c r="GJ45" s="9">
        <v>-0.14499999999999999</v>
      </c>
      <c r="GK45" s="9">
        <v>217.49299999999999</v>
      </c>
      <c r="GL45" s="9">
        <v>-1.752</v>
      </c>
      <c r="GN45" s="9">
        <v>23.777999999999999</v>
      </c>
      <c r="GO45" s="9">
        <v>0.48799999999999999</v>
      </c>
      <c r="GP45" s="9">
        <v>240.00700000000001</v>
      </c>
      <c r="GQ45" s="9">
        <v>3.0739999999999998</v>
      </c>
      <c r="GS45" s="9">
        <v>-27.739000000000001</v>
      </c>
      <c r="GT45" s="9">
        <v>-0.15</v>
      </c>
      <c r="GU45" s="9">
        <v>215.191</v>
      </c>
      <c r="GV45" s="9">
        <v>-3.875</v>
      </c>
      <c r="GX45" s="9">
        <v>54.08</v>
      </c>
      <c r="GY45" s="9">
        <v>6.7000000000000004E-2</v>
      </c>
      <c r="GZ45" s="9">
        <v>265.46300000000002</v>
      </c>
      <c r="HA45" s="9">
        <v>14.346</v>
      </c>
      <c r="HC45" s="9">
        <v>-6.1210000000000004</v>
      </c>
      <c r="HD45" s="9">
        <v>1.0249999999999999</v>
      </c>
      <c r="HE45" s="9">
        <v>274.71300000000002</v>
      </c>
      <c r="HF45" s="9">
        <v>1.4390000000000001</v>
      </c>
      <c r="HH45" s="9">
        <v>54.338000000000001</v>
      </c>
      <c r="HI45" s="9">
        <v>-0.53</v>
      </c>
      <c r="HJ45" s="9">
        <v>329.96</v>
      </c>
      <c r="HK45" s="9">
        <v>6.5010000000000003</v>
      </c>
      <c r="HM45" s="9">
        <v>-49.755000000000003</v>
      </c>
      <c r="HN45" s="9">
        <v>-0.35099999999999998</v>
      </c>
      <c r="HO45" s="9">
        <v>286.35500000000002</v>
      </c>
      <c r="HP45" s="9">
        <v>-10.220000000000001</v>
      </c>
      <c r="HR45" s="9">
        <v>45.564</v>
      </c>
      <c r="HS45" s="9">
        <v>-4.8000000000000001E-2</v>
      </c>
      <c r="HT45" s="9">
        <v>321.65100000000001</v>
      </c>
      <c r="HU45" s="9">
        <v>2.7410000000000001</v>
      </c>
      <c r="HW45" s="9">
        <v>-6.734</v>
      </c>
      <c r="HX45" s="9">
        <v>3.6999999999999998E-2</v>
      </c>
      <c r="HY45" s="9">
        <v>317.69499999999999</v>
      </c>
    </row>
    <row r="46" spans="1:233" x14ac:dyDescent="0.35">
      <c r="A46" s="12" t="s">
        <v>125</v>
      </c>
      <c r="B46" s="12" t="s">
        <v>126</v>
      </c>
      <c r="CJ46" s="9">
        <v>378.76400000000001</v>
      </c>
      <c r="CK46" s="9">
        <v>63.603999999999999</v>
      </c>
      <c r="CM46" s="9">
        <v>-8.7999999999999995E-2</v>
      </c>
      <c r="CN46" s="9">
        <v>0</v>
      </c>
      <c r="CO46" s="9">
        <v>442.279</v>
      </c>
      <c r="CP46" s="9">
        <v>75</v>
      </c>
      <c r="CR46" s="9">
        <v>-3.3000000000000002E-2</v>
      </c>
      <c r="CS46" s="9">
        <v>0</v>
      </c>
      <c r="CT46" s="9">
        <v>517.24599999999998</v>
      </c>
      <c r="CU46" s="9">
        <v>54.146000000000001</v>
      </c>
      <c r="CW46" s="9">
        <v>3.0110000000000001</v>
      </c>
      <c r="CX46" s="9">
        <v>0</v>
      </c>
      <c r="CY46" s="9">
        <v>574.40300000000002</v>
      </c>
      <c r="CZ46" s="9">
        <v>63.716999999999999</v>
      </c>
      <c r="DB46" s="9">
        <v>12.02</v>
      </c>
      <c r="DC46" s="9">
        <v>0</v>
      </c>
      <c r="DD46" s="9">
        <v>650.14</v>
      </c>
      <c r="DE46" s="9">
        <v>67.254999999999995</v>
      </c>
      <c r="DG46" s="9">
        <v>-6.024</v>
      </c>
      <c r="DH46" s="9">
        <v>0</v>
      </c>
      <c r="DI46" s="9">
        <v>711.37199999999996</v>
      </c>
      <c r="DJ46" s="9">
        <v>61.728999999999999</v>
      </c>
      <c r="DL46" s="9">
        <v>-16.317</v>
      </c>
      <c r="DM46" s="9">
        <v>0</v>
      </c>
      <c r="DN46" s="9">
        <v>756.78300000000002</v>
      </c>
      <c r="DO46" s="9">
        <v>56.648000000000003</v>
      </c>
      <c r="DQ46" s="9">
        <v>-23.062000000000001</v>
      </c>
      <c r="DR46" s="9">
        <v>0</v>
      </c>
      <c r="DS46" s="9">
        <v>790.36900000000003</v>
      </c>
      <c r="DT46" s="9">
        <v>59.561</v>
      </c>
      <c r="DV46" s="9">
        <v>6.36</v>
      </c>
      <c r="DW46" s="9">
        <v>0</v>
      </c>
      <c r="DX46" s="9">
        <v>856.29100000000005</v>
      </c>
      <c r="DY46" s="9">
        <v>79.227000000000004</v>
      </c>
      <c r="EA46" s="9">
        <v>9.7959999999999994</v>
      </c>
      <c r="EB46" s="9">
        <v>0</v>
      </c>
      <c r="EC46" s="9">
        <v>945.31399999999996</v>
      </c>
      <c r="ED46" s="9">
        <v>89.391000000000005</v>
      </c>
      <c r="EF46" s="9">
        <v>16.555</v>
      </c>
      <c r="EG46" s="9">
        <v>0</v>
      </c>
      <c r="EH46" s="9">
        <v>1051.26</v>
      </c>
      <c r="EI46" s="9">
        <v>96.852000000000004</v>
      </c>
      <c r="EK46" s="9">
        <v>23.757999999999999</v>
      </c>
      <c r="EL46" s="9">
        <v>28.512</v>
      </c>
      <c r="EM46" s="9">
        <v>1200.3820000000001</v>
      </c>
      <c r="EN46" s="9">
        <v>86.072999999999993</v>
      </c>
      <c r="EP46" s="9">
        <v>1.091</v>
      </c>
      <c r="EQ46" s="9">
        <v>8.7089999999999996</v>
      </c>
      <c r="ER46" s="9">
        <v>1296.2539999999999</v>
      </c>
      <c r="ES46" s="9">
        <v>49.752000000000002</v>
      </c>
      <c r="EU46" s="9">
        <v>-36.808</v>
      </c>
      <c r="EV46" s="9">
        <v>-9.9079999999999995</v>
      </c>
      <c r="EW46" s="9">
        <v>1299.29</v>
      </c>
      <c r="EX46" s="9">
        <v>79.864999999999995</v>
      </c>
      <c r="EZ46" s="9">
        <v>27.193000000000001</v>
      </c>
      <c r="FA46" s="9">
        <v>1.089</v>
      </c>
      <c r="FB46" s="9">
        <v>1407.4369999999999</v>
      </c>
      <c r="FC46" s="9">
        <v>89.38</v>
      </c>
      <c r="FE46" s="9">
        <v>13.260999999999999</v>
      </c>
      <c r="FF46" s="9">
        <v>1.139</v>
      </c>
      <c r="FG46" s="9">
        <v>1511.2170000000001</v>
      </c>
      <c r="FH46" s="9">
        <v>30.177</v>
      </c>
      <c r="FJ46" s="9">
        <v>-9.8789999999999996</v>
      </c>
      <c r="FK46" s="9">
        <v>3.0840000000000001</v>
      </c>
      <c r="FL46" s="9">
        <v>1534.6</v>
      </c>
      <c r="FM46" s="9">
        <v>25.036999999999999</v>
      </c>
      <c r="FO46" s="9">
        <v>25.626999999999999</v>
      </c>
      <c r="FP46" s="9">
        <v>2.7069999999999999</v>
      </c>
      <c r="FQ46" s="9">
        <v>1587.97</v>
      </c>
      <c r="FR46" s="9">
        <v>42.417999999999999</v>
      </c>
      <c r="FT46" s="9">
        <v>21.032</v>
      </c>
      <c r="FU46" s="9">
        <v>2.9769999999999999</v>
      </c>
      <c r="FV46" s="9">
        <v>1654.3969999999999</v>
      </c>
      <c r="FW46" s="9">
        <v>55.039000000000001</v>
      </c>
      <c r="FY46" s="9">
        <v>20.268000000000001</v>
      </c>
      <c r="FZ46" s="9">
        <v>3.4159999999999999</v>
      </c>
      <c r="GA46" s="9">
        <v>1733.12</v>
      </c>
      <c r="GB46" s="9">
        <v>51.902999999999999</v>
      </c>
      <c r="GD46" s="9">
        <v>13.891999999999999</v>
      </c>
      <c r="GE46" s="9">
        <v>0</v>
      </c>
      <c r="GF46" s="9">
        <v>1798.915</v>
      </c>
      <c r="GG46" s="9">
        <v>41.957000000000001</v>
      </c>
      <c r="GI46" s="9">
        <v>9.0890000000000004</v>
      </c>
      <c r="GJ46" s="9">
        <v>172.25800000000001</v>
      </c>
      <c r="GK46" s="9">
        <v>2022.2190000000001</v>
      </c>
      <c r="GL46" s="9">
        <v>39.874000000000002</v>
      </c>
      <c r="GN46" s="9">
        <v>-4.2850000000000001</v>
      </c>
      <c r="GO46" s="9">
        <v>0.31</v>
      </c>
      <c r="GP46" s="9">
        <v>2058.1179999999999</v>
      </c>
      <c r="GQ46" s="9">
        <v>39.293999999999997</v>
      </c>
      <c r="GS46" s="9">
        <v>-63.655999999999999</v>
      </c>
      <c r="GT46" s="9">
        <v>-2.8149999999999999</v>
      </c>
      <c r="GU46" s="9">
        <v>2030.94</v>
      </c>
      <c r="GV46" s="9">
        <v>41.854999999999997</v>
      </c>
      <c r="GX46" s="9">
        <v>133.886</v>
      </c>
      <c r="GY46" s="9">
        <v>2.0270000000000001</v>
      </c>
      <c r="GZ46" s="9">
        <v>2208.7080000000001</v>
      </c>
      <c r="HA46" s="9">
        <v>10.151</v>
      </c>
      <c r="HC46" s="9">
        <v>51.427</v>
      </c>
      <c r="HD46" s="9">
        <v>-0.94599999999999995</v>
      </c>
      <c r="HE46" s="9">
        <v>2269.3409999999999</v>
      </c>
      <c r="HF46" s="9">
        <v>33.600999999999999</v>
      </c>
      <c r="HH46" s="9">
        <v>3.4180000000000001</v>
      </c>
      <c r="HI46" s="9">
        <v>-3.5569999999999999</v>
      </c>
      <c r="HJ46" s="9">
        <v>2302.8029999999999</v>
      </c>
      <c r="HK46" s="9">
        <v>37.124000000000002</v>
      </c>
      <c r="HM46" s="9">
        <v>-327.86599999999999</v>
      </c>
      <c r="HN46" s="9">
        <v>-0.59399999999999997</v>
      </c>
      <c r="HO46" s="9">
        <v>2011.4670000000001</v>
      </c>
      <c r="HP46" s="9">
        <v>32.540999999999997</v>
      </c>
      <c r="HR46" s="9">
        <v>69.414000000000001</v>
      </c>
      <c r="HS46" s="9">
        <v>0</v>
      </c>
      <c r="HT46" s="9">
        <v>2113.422</v>
      </c>
      <c r="HU46" s="9">
        <v>58.581000000000003</v>
      </c>
      <c r="HW46" s="9">
        <v>23.391999999999999</v>
      </c>
      <c r="HX46" s="9">
        <v>0</v>
      </c>
      <c r="HY46" s="9">
        <v>2195.3939999999998</v>
      </c>
    </row>
    <row r="47" spans="1:233" x14ac:dyDescent="0.35">
      <c r="A47" s="12" t="s">
        <v>127</v>
      </c>
      <c r="B47" s="12" t="s">
        <v>128</v>
      </c>
      <c r="CJ47" s="9">
        <v>0</v>
      </c>
      <c r="CK47" s="9">
        <v>0</v>
      </c>
      <c r="CM47" s="9">
        <v>0</v>
      </c>
      <c r="CN47" s="9">
        <v>0</v>
      </c>
      <c r="CO47" s="9">
        <v>0</v>
      </c>
      <c r="CP47" s="9">
        <v>0</v>
      </c>
      <c r="CR47" s="9">
        <v>0</v>
      </c>
      <c r="CS47" s="9">
        <v>0</v>
      </c>
      <c r="CT47" s="9">
        <v>0</v>
      </c>
      <c r="CU47" s="9">
        <v>0</v>
      </c>
      <c r="CW47" s="9">
        <v>0</v>
      </c>
      <c r="CX47" s="9">
        <v>0</v>
      </c>
      <c r="CY47" s="9">
        <v>0</v>
      </c>
      <c r="CZ47" s="9">
        <v>0</v>
      </c>
      <c r="DB47" s="9">
        <v>0</v>
      </c>
      <c r="DC47" s="9">
        <v>0</v>
      </c>
      <c r="DD47" s="9">
        <v>0</v>
      </c>
      <c r="DE47" s="9">
        <v>0</v>
      </c>
      <c r="DG47" s="9">
        <v>0</v>
      </c>
      <c r="DH47" s="9">
        <v>0</v>
      </c>
      <c r="DI47" s="9">
        <v>0</v>
      </c>
      <c r="DJ47" s="9">
        <v>0</v>
      </c>
      <c r="DL47" s="9">
        <v>0</v>
      </c>
      <c r="DM47" s="9">
        <v>0</v>
      </c>
      <c r="DN47" s="9">
        <v>0</v>
      </c>
      <c r="DO47" s="9">
        <v>0</v>
      </c>
      <c r="DQ47" s="9">
        <v>0</v>
      </c>
      <c r="DR47" s="9">
        <v>0</v>
      </c>
      <c r="DS47" s="9">
        <v>0</v>
      </c>
      <c r="DT47" s="9">
        <v>0</v>
      </c>
      <c r="DV47" s="9">
        <v>0</v>
      </c>
      <c r="DW47" s="9">
        <v>0</v>
      </c>
      <c r="DX47" s="9">
        <v>0</v>
      </c>
      <c r="DY47" s="9">
        <v>0</v>
      </c>
      <c r="EA47" s="9">
        <v>0</v>
      </c>
      <c r="EB47" s="9">
        <v>0</v>
      </c>
      <c r="EC47" s="9">
        <v>0</v>
      </c>
      <c r="ED47" s="9">
        <v>0</v>
      </c>
      <c r="EF47" s="9">
        <v>0</v>
      </c>
      <c r="EG47" s="9">
        <v>0</v>
      </c>
      <c r="EH47" s="9">
        <v>0</v>
      </c>
      <c r="EI47" s="9">
        <v>0</v>
      </c>
      <c r="EK47" s="9">
        <v>0</v>
      </c>
      <c r="EL47" s="9">
        <v>0</v>
      </c>
      <c r="EM47" s="9">
        <v>0</v>
      </c>
      <c r="EN47" s="9">
        <v>0</v>
      </c>
      <c r="EP47" s="9">
        <v>0</v>
      </c>
      <c r="EQ47" s="9">
        <v>0</v>
      </c>
      <c r="ER47" s="9">
        <v>0</v>
      </c>
      <c r="ES47" s="9">
        <v>0</v>
      </c>
      <c r="EU47" s="9">
        <v>0</v>
      </c>
      <c r="EV47" s="9">
        <v>0</v>
      </c>
      <c r="EW47" s="9">
        <v>0</v>
      </c>
      <c r="EX47" s="9">
        <v>0</v>
      </c>
      <c r="EZ47" s="9">
        <v>0</v>
      </c>
      <c r="FA47" s="9">
        <v>0</v>
      </c>
      <c r="FB47" s="9">
        <v>0</v>
      </c>
      <c r="FC47" s="9">
        <v>0</v>
      </c>
      <c r="FE47" s="9">
        <v>0</v>
      </c>
      <c r="FF47" s="9">
        <v>0</v>
      </c>
      <c r="FG47" s="9">
        <v>0</v>
      </c>
      <c r="FH47" s="9">
        <v>0</v>
      </c>
      <c r="FJ47" s="9">
        <v>0</v>
      </c>
      <c r="FK47" s="9">
        <v>0</v>
      </c>
      <c r="FL47" s="9">
        <v>0</v>
      </c>
      <c r="FM47" s="9">
        <v>0</v>
      </c>
      <c r="FO47" s="9">
        <v>0</v>
      </c>
      <c r="FP47" s="9">
        <v>0</v>
      </c>
      <c r="FQ47" s="9">
        <v>0</v>
      </c>
      <c r="FR47" s="9">
        <v>0</v>
      </c>
      <c r="FT47" s="9">
        <v>0</v>
      </c>
      <c r="FU47" s="9">
        <v>0</v>
      </c>
      <c r="FV47" s="9">
        <v>0</v>
      </c>
      <c r="FW47" s="9">
        <v>2E-3</v>
      </c>
      <c r="FY47" s="9">
        <v>1E-3</v>
      </c>
      <c r="FZ47" s="9">
        <v>1E-3</v>
      </c>
      <c r="GA47" s="9">
        <v>4.0000000000000001E-3</v>
      </c>
      <c r="GB47" s="9">
        <v>2E-3</v>
      </c>
      <c r="GD47" s="9">
        <v>-1E-3</v>
      </c>
      <c r="GE47" s="9">
        <v>0</v>
      </c>
      <c r="GF47" s="9">
        <v>4.0000000000000001E-3</v>
      </c>
      <c r="GG47" s="9">
        <v>3.7999999999999999E-2</v>
      </c>
      <c r="GI47" s="9">
        <v>-4.0000000000000001E-3</v>
      </c>
      <c r="GJ47" s="9">
        <v>0</v>
      </c>
      <c r="GK47" s="9">
        <v>3.7999999999999999E-2</v>
      </c>
      <c r="GL47" s="9">
        <v>5.0000000000000001E-3</v>
      </c>
      <c r="GN47" s="9">
        <v>-8.0000000000000002E-3</v>
      </c>
      <c r="GO47" s="9">
        <v>0</v>
      </c>
      <c r="GP47" s="9">
        <v>3.5999999999999997E-2</v>
      </c>
      <c r="GQ47" s="9">
        <v>0.113</v>
      </c>
      <c r="GS47" s="9">
        <v>-1.7999999999999999E-2</v>
      </c>
      <c r="GT47" s="9">
        <v>0</v>
      </c>
      <c r="GU47" s="9">
        <v>0.13</v>
      </c>
      <c r="GV47" s="9">
        <v>5.7000000000000002E-2</v>
      </c>
      <c r="GX47" s="9">
        <v>0</v>
      </c>
      <c r="GY47" s="9">
        <v>0</v>
      </c>
      <c r="GZ47" s="9">
        <v>0.187</v>
      </c>
      <c r="HA47" s="9">
        <v>9.2999999999999999E-2</v>
      </c>
      <c r="HC47" s="9">
        <v>1.2E-2</v>
      </c>
      <c r="HD47" s="9">
        <v>0</v>
      </c>
      <c r="HE47" s="9">
        <v>0.29199999999999998</v>
      </c>
      <c r="HF47" s="9">
        <v>8.3000000000000004E-2</v>
      </c>
      <c r="HH47" s="9">
        <v>-5.7000000000000002E-2</v>
      </c>
      <c r="HI47" s="9">
        <v>0</v>
      </c>
      <c r="HJ47" s="9">
        <v>0.31900000000000001</v>
      </c>
      <c r="HK47" s="9">
        <v>-3.5999999999999997E-2</v>
      </c>
      <c r="HM47" s="9">
        <v>1.2E-2</v>
      </c>
      <c r="HN47" s="9">
        <v>0</v>
      </c>
      <c r="HO47" s="9">
        <v>0.29599999999999999</v>
      </c>
      <c r="HP47" s="9">
        <v>-7.6999999999999999E-2</v>
      </c>
      <c r="HR47" s="9">
        <v>-8.1000000000000003E-2</v>
      </c>
      <c r="HS47" s="9">
        <v>0</v>
      </c>
      <c r="HT47" s="9">
        <v>0.13800000000000001</v>
      </c>
      <c r="HU47" s="9">
        <v>-5.8000000000000003E-2</v>
      </c>
      <c r="HW47" s="9">
        <v>-0.02</v>
      </c>
      <c r="HX47" s="9">
        <v>0</v>
      </c>
      <c r="HY47" s="9">
        <v>0.06</v>
      </c>
    </row>
    <row r="48" spans="1:233" x14ac:dyDescent="0.35">
      <c r="A48" s="12" t="s">
        <v>129</v>
      </c>
      <c r="B48" s="12" t="s">
        <v>130</v>
      </c>
      <c r="CJ48" s="9">
        <v>80.718999999999994</v>
      </c>
      <c r="CK48" s="9">
        <v>3.492</v>
      </c>
      <c r="CN48" s="9">
        <v>0</v>
      </c>
      <c r="CO48" s="9">
        <v>84.210999999999999</v>
      </c>
      <c r="CP48" s="9">
        <v>5.843</v>
      </c>
      <c r="CS48" s="9">
        <v>-0.58499999999999996</v>
      </c>
      <c r="CT48" s="9">
        <v>89.468000000000004</v>
      </c>
      <c r="CU48" s="9">
        <v>0.86399999999999999</v>
      </c>
      <c r="CX48" s="9">
        <v>-0.85799999999999998</v>
      </c>
      <c r="CY48" s="9">
        <v>89.474000000000004</v>
      </c>
      <c r="CZ48" s="9">
        <v>24.113</v>
      </c>
      <c r="DC48" s="9">
        <v>5.8579999999999997</v>
      </c>
      <c r="DD48" s="9">
        <v>119.44499999999999</v>
      </c>
      <c r="DE48" s="9">
        <v>12.747999999999999</v>
      </c>
      <c r="DH48" s="9">
        <v>0.84199999999999997</v>
      </c>
      <c r="DI48" s="9">
        <v>133.035</v>
      </c>
      <c r="DJ48" s="9">
        <v>1.504</v>
      </c>
      <c r="DM48" s="9">
        <v>-0.01</v>
      </c>
      <c r="DN48" s="9">
        <v>134.529</v>
      </c>
      <c r="DO48" s="9">
        <v>14.972</v>
      </c>
      <c r="DR48" s="9">
        <v>2.4790000000000001</v>
      </c>
      <c r="DS48" s="9">
        <v>151.97999999999999</v>
      </c>
      <c r="DT48" s="9">
        <v>9.8580000000000005</v>
      </c>
      <c r="DW48" s="9">
        <v>-5.8929999999999998</v>
      </c>
      <c r="DX48" s="9">
        <v>155.946</v>
      </c>
      <c r="DY48" s="9">
        <v>-18.882000000000001</v>
      </c>
      <c r="EB48" s="9">
        <v>3.0000000000000001E-3</v>
      </c>
      <c r="EC48" s="9">
        <v>137.066</v>
      </c>
      <c r="ED48" s="9">
        <v>14.708</v>
      </c>
      <c r="EG48" s="9">
        <v>0.01</v>
      </c>
      <c r="EH48" s="9">
        <v>151.78399999999999</v>
      </c>
      <c r="EI48" s="9">
        <v>2.714</v>
      </c>
      <c r="EL48" s="9">
        <v>7.0000000000000001E-3</v>
      </c>
      <c r="EM48" s="9">
        <v>154.505</v>
      </c>
      <c r="EN48" s="9">
        <v>22.954999999999998</v>
      </c>
      <c r="EQ48" s="9">
        <v>0</v>
      </c>
      <c r="ER48" s="9">
        <v>177.46</v>
      </c>
      <c r="ES48" s="9">
        <v>23.873999999999999</v>
      </c>
      <c r="EV48" s="9">
        <v>-3.1680000000000001</v>
      </c>
      <c r="EW48" s="9">
        <v>198.166</v>
      </c>
      <c r="EX48" s="9">
        <v>70.302000000000007</v>
      </c>
      <c r="FA48" s="9">
        <v>-10.638</v>
      </c>
      <c r="FB48" s="9">
        <v>257.82900000000001</v>
      </c>
      <c r="FC48" s="9">
        <v>66.891000000000005</v>
      </c>
      <c r="FF48" s="9">
        <v>-0.153</v>
      </c>
      <c r="FG48" s="9">
        <v>324.56700000000001</v>
      </c>
      <c r="FH48" s="9">
        <v>22.824999999999999</v>
      </c>
      <c r="FK48" s="9">
        <v>1.532</v>
      </c>
      <c r="FL48" s="9">
        <v>348.92399999999998</v>
      </c>
      <c r="FM48" s="9">
        <v>-57.905999999999999</v>
      </c>
      <c r="FP48" s="9">
        <v>-2.722</v>
      </c>
      <c r="FQ48" s="9">
        <v>288.29599999999999</v>
      </c>
      <c r="FR48" s="9">
        <v>27.760999999999999</v>
      </c>
      <c r="FU48" s="9">
        <v>1.194</v>
      </c>
      <c r="FV48" s="9">
        <v>317.25099999999998</v>
      </c>
      <c r="FW48" s="9">
        <v>31.364000000000001</v>
      </c>
      <c r="FZ48" s="9">
        <v>0.158</v>
      </c>
      <c r="GA48" s="9">
        <v>348.77300000000002</v>
      </c>
      <c r="GB48" s="9">
        <v>12.79</v>
      </c>
      <c r="GE48" s="9">
        <v>5.0000000000000001E-3</v>
      </c>
      <c r="GF48" s="9">
        <v>361.56700000000001</v>
      </c>
      <c r="GG48" s="9">
        <v>17.692</v>
      </c>
      <c r="GJ48" s="9">
        <v>0.19800000000000001</v>
      </c>
      <c r="GK48" s="9">
        <v>379.45800000000003</v>
      </c>
      <c r="GL48" s="9">
        <v>15.804</v>
      </c>
      <c r="GO48" s="9">
        <v>0.376</v>
      </c>
      <c r="GP48" s="9">
        <v>395.637</v>
      </c>
      <c r="GQ48" s="9">
        <v>14.866</v>
      </c>
      <c r="GT48" s="9">
        <v>-4.492</v>
      </c>
      <c r="GU48" s="9">
        <v>406.01100000000002</v>
      </c>
      <c r="GV48" s="9">
        <v>29.798999999999999</v>
      </c>
      <c r="GY48" s="9">
        <v>-0.377</v>
      </c>
      <c r="GZ48" s="9">
        <v>435.43200000000002</v>
      </c>
      <c r="HA48" s="9">
        <v>32.168999999999997</v>
      </c>
      <c r="HD48" s="9">
        <v>9.6000000000000002E-2</v>
      </c>
      <c r="HE48" s="9">
        <v>467.697</v>
      </c>
      <c r="HF48" s="9">
        <v>39.039000000000001</v>
      </c>
      <c r="HI48" s="9">
        <v>-4.3559999999999999</v>
      </c>
      <c r="HJ48" s="9">
        <v>502.38</v>
      </c>
      <c r="HK48" s="9">
        <v>15.442</v>
      </c>
      <c r="HN48" s="9">
        <v>1.595</v>
      </c>
      <c r="HO48" s="9">
        <v>519.41700000000003</v>
      </c>
      <c r="HP48" s="9">
        <v>27.356999999999999</v>
      </c>
      <c r="HS48" s="9">
        <v>0.82699999999999996</v>
      </c>
      <c r="HT48" s="9">
        <v>547.6</v>
      </c>
      <c r="HU48" s="9">
        <v>23.742000000000001</v>
      </c>
      <c r="HX48" s="9">
        <v>-0.316</v>
      </c>
      <c r="HY48" s="9">
        <v>571.02599999999995</v>
      </c>
    </row>
    <row r="49" spans="1:233" x14ac:dyDescent="0.35">
      <c r="B49" s="2" t="s">
        <v>48</v>
      </c>
    </row>
    <row r="50" spans="1:233" x14ac:dyDescent="0.35">
      <c r="A50" s="12" t="s">
        <v>131</v>
      </c>
      <c r="B50" s="12" t="s">
        <v>132</v>
      </c>
      <c r="CF50" s="9">
        <v>30.766999999999999</v>
      </c>
      <c r="CH50" s="9">
        <v>-26.239000000000001</v>
      </c>
      <c r="CI50" s="9">
        <v>15.696999999999999</v>
      </c>
      <c r="CJ50" s="9">
        <v>4080.46</v>
      </c>
      <c r="CK50" s="9">
        <v>128.99299999999999</v>
      </c>
      <c r="CM50" s="9">
        <v>98.298000000000002</v>
      </c>
      <c r="CN50" s="9">
        <v>-5.1749999999999998</v>
      </c>
      <c r="CO50" s="9">
        <v>4265.7749999999996</v>
      </c>
      <c r="CP50" s="9">
        <v>145.30500000000001</v>
      </c>
      <c r="CR50" s="9">
        <v>72.251999999999995</v>
      </c>
      <c r="CS50" s="9">
        <v>5.6379999999999999</v>
      </c>
      <c r="CT50" s="9">
        <v>4451.1319999999996</v>
      </c>
      <c r="CU50" s="9">
        <v>130.67599999999999</v>
      </c>
      <c r="CW50" s="9">
        <v>168.881</v>
      </c>
      <c r="CX50" s="9">
        <v>11.795</v>
      </c>
      <c r="CY50" s="9">
        <v>4723.7309999999998</v>
      </c>
      <c r="CZ50" s="9">
        <v>159.541</v>
      </c>
      <c r="DB50" s="9">
        <v>421.03399999999999</v>
      </c>
      <c r="DC50" s="9">
        <v>10.821</v>
      </c>
      <c r="DD50" s="9">
        <v>5275.4030000000002</v>
      </c>
      <c r="DE50" s="9">
        <v>146.80799999999999</v>
      </c>
      <c r="DG50" s="9">
        <v>251.274</v>
      </c>
      <c r="DH50" s="9">
        <v>8.01</v>
      </c>
      <c r="DI50" s="9">
        <v>5640.09</v>
      </c>
      <c r="DJ50" s="9">
        <v>184.458</v>
      </c>
      <c r="DL50" s="9">
        <v>69.173000000000002</v>
      </c>
      <c r="DM50" s="9">
        <v>8.4190000000000005</v>
      </c>
      <c r="DN50" s="9">
        <v>5858.8059999999996</v>
      </c>
      <c r="DO50" s="9">
        <v>193.28700000000001</v>
      </c>
      <c r="DQ50" s="9">
        <v>240.29300000000001</v>
      </c>
      <c r="DR50" s="9">
        <v>35.268999999999998</v>
      </c>
      <c r="DS50" s="9">
        <v>6282.3919999999998</v>
      </c>
      <c r="DT50" s="9">
        <v>205.39599999999999</v>
      </c>
      <c r="DV50" s="9">
        <v>562.34699999999998</v>
      </c>
      <c r="DW50" s="9">
        <v>9.65</v>
      </c>
      <c r="DX50" s="9">
        <v>7012.3249999999998</v>
      </c>
      <c r="DY50" s="9">
        <v>183.114</v>
      </c>
      <c r="EA50" s="9">
        <v>723.60400000000004</v>
      </c>
      <c r="EB50" s="9">
        <v>35.445</v>
      </c>
      <c r="EC50" s="9">
        <v>7903.9269999999997</v>
      </c>
      <c r="ED50" s="9">
        <v>234.893</v>
      </c>
      <c r="EF50" s="9">
        <v>827.81100000000004</v>
      </c>
      <c r="EG50" s="9">
        <v>29.542000000000002</v>
      </c>
      <c r="EH50" s="9">
        <v>8942.4470000000001</v>
      </c>
      <c r="EI50" s="9">
        <v>256.858</v>
      </c>
      <c r="EK50" s="9">
        <v>740.63099999999997</v>
      </c>
      <c r="EL50" s="9">
        <v>58.82</v>
      </c>
      <c r="EM50" s="9">
        <v>9941.1939999999995</v>
      </c>
      <c r="EN50" s="9">
        <v>278.93</v>
      </c>
      <c r="EP50" s="9">
        <v>316.88900000000001</v>
      </c>
      <c r="EQ50" s="9">
        <v>112.723</v>
      </c>
      <c r="ER50" s="9">
        <v>10588.258</v>
      </c>
      <c r="ES50" s="9">
        <v>244.24700000000001</v>
      </c>
      <c r="EU50" s="9">
        <v>-759.16399999999999</v>
      </c>
      <c r="EV50" s="9">
        <v>26.324000000000002</v>
      </c>
      <c r="EW50" s="9">
        <v>10033.819</v>
      </c>
      <c r="EX50" s="9">
        <v>260.85300000000001</v>
      </c>
      <c r="EZ50" s="9">
        <v>53.957000000000001</v>
      </c>
      <c r="FA50" s="9">
        <v>-21.308</v>
      </c>
      <c r="FB50" s="9">
        <v>10261.867</v>
      </c>
      <c r="FC50" s="9">
        <v>284.91699999999997</v>
      </c>
      <c r="FE50" s="9">
        <v>595.83900000000006</v>
      </c>
      <c r="FF50" s="9">
        <v>15.574</v>
      </c>
      <c r="FG50" s="9">
        <v>11090.761</v>
      </c>
      <c r="FH50" s="9">
        <v>224.29599999999999</v>
      </c>
      <c r="FJ50" s="9">
        <v>110.703</v>
      </c>
      <c r="FK50" s="9">
        <v>47.683</v>
      </c>
      <c r="FL50" s="9">
        <v>11403.986000000001</v>
      </c>
      <c r="FM50" s="9">
        <v>145.756</v>
      </c>
      <c r="FO50" s="9">
        <v>-12.635999999999999</v>
      </c>
      <c r="FP50" s="9">
        <v>43.073999999999998</v>
      </c>
      <c r="FQ50" s="9">
        <v>11509.824000000001</v>
      </c>
      <c r="FR50" s="9">
        <v>221.471</v>
      </c>
      <c r="FT50" s="9">
        <v>-78.268000000000001</v>
      </c>
      <c r="FU50" s="9">
        <v>66.843999999999994</v>
      </c>
      <c r="FV50" s="9">
        <v>11649.425999999999</v>
      </c>
      <c r="FW50" s="9">
        <v>205.37299999999999</v>
      </c>
      <c r="FY50" s="9">
        <v>-94.731999999999999</v>
      </c>
      <c r="FZ50" s="9">
        <v>82.182000000000002</v>
      </c>
      <c r="GA50" s="9">
        <v>11769.966</v>
      </c>
      <c r="GB50" s="9">
        <v>232.43799999999999</v>
      </c>
      <c r="GD50" s="9">
        <v>83.41</v>
      </c>
      <c r="GE50" s="9">
        <v>43.759</v>
      </c>
      <c r="GF50" s="9">
        <v>12056.421</v>
      </c>
      <c r="GG50" s="9">
        <v>238.32900000000001</v>
      </c>
      <c r="GI50" s="9">
        <v>202.62100000000001</v>
      </c>
      <c r="GJ50" s="9">
        <v>202.452</v>
      </c>
      <c r="GK50" s="9">
        <v>12625.638000000001</v>
      </c>
      <c r="GL50" s="9">
        <v>252.119</v>
      </c>
      <c r="GN50" s="9">
        <v>340.23700000000002</v>
      </c>
      <c r="GO50" s="9">
        <v>54.292000000000002</v>
      </c>
      <c r="GP50" s="9">
        <v>13194.813</v>
      </c>
      <c r="GQ50" s="9">
        <v>270.57600000000002</v>
      </c>
      <c r="GS50" s="9">
        <v>79.959000000000003</v>
      </c>
      <c r="GT50" s="9">
        <v>23.989000000000001</v>
      </c>
      <c r="GU50" s="9">
        <v>13488.12</v>
      </c>
      <c r="GV50" s="9">
        <v>278.00599999999997</v>
      </c>
      <c r="GX50" s="9">
        <v>650.87900000000002</v>
      </c>
      <c r="GY50" s="9">
        <v>71.278999999999996</v>
      </c>
      <c r="GZ50" s="9">
        <v>14402.514999999999</v>
      </c>
      <c r="HA50" s="9">
        <v>375.58300000000003</v>
      </c>
      <c r="HC50" s="9">
        <v>499.97</v>
      </c>
      <c r="HD50" s="9">
        <v>63.304000000000002</v>
      </c>
      <c r="HE50" s="9">
        <v>15251.393</v>
      </c>
      <c r="HF50" s="9">
        <v>358.62200000000001</v>
      </c>
      <c r="HH50" s="9">
        <v>874.06700000000001</v>
      </c>
      <c r="HI50" s="9">
        <v>77.912999999999997</v>
      </c>
      <c r="HJ50" s="9">
        <v>16465.048999999999</v>
      </c>
      <c r="HK50" s="9">
        <v>358.92200000000003</v>
      </c>
      <c r="HM50" s="9">
        <v>-193.36</v>
      </c>
      <c r="HN50" s="9">
        <v>104.624</v>
      </c>
      <c r="HO50" s="9">
        <v>16628.813999999998</v>
      </c>
      <c r="HP50" s="9">
        <v>317.30399999999997</v>
      </c>
      <c r="HR50" s="9">
        <v>-159.46100000000001</v>
      </c>
      <c r="HS50" s="9">
        <v>61.386000000000003</v>
      </c>
      <c r="HT50" s="9">
        <v>16738.395</v>
      </c>
      <c r="HU50" s="9">
        <v>307.24799999999999</v>
      </c>
      <c r="HW50" s="9">
        <v>-186.845</v>
      </c>
      <c r="HX50" s="9">
        <v>94.882000000000005</v>
      </c>
      <c r="HY50" s="9">
        <v>16844.934000000001</v>
      </c>
    </row>
    <row r="51" spans="1:233" x14ac:dyDescent="0.35">
      <c r="B51" s="2" t="s">
        <v>48</v>
      </c>
    </row>
    <row r="52" spans="1:233" x14ac:dyDescent="0.35">
      <c r="B52" s="2" t="s">
        <v>48</v>
      </c>
    </row>
    <row r="53" spans="1:233" x14ac:dyDescent="0.35">
      <c r="A53" s="12" t="s">
        <v>111</v>
      </c>
      <c r="B53" s="12" t="s">
        <v>133</v>
      </c>
      <c r="CJ53" s="9">
        <v>516.78300000000002</v>
      </c>
      <c r="CK53" s="9">
        <v>29.846</v>
      </c>
      <c r="CM53" s="9">
        <v>-1</v>
      </c>
      <c r="CN53" s="9">
        <v>-3.0129999999999999</v>
      </c>
      <c r="CO53" s="9">
        <v>542.61599999999999</v>
      </c>
      <c r="CP53" s="9">
        <v>39.44</v>
      </c>
      <c r="CR53" s="9">
        <v>-1.9390000000000001</v>
      </c>
      <c r="CS53" s="9">
        <v>-2.9630000000000001</v>
      </c>
      <c r="CT53" s="9">
        <v>577.15300000000002</v>
      </c>
      <c r="CU53" s="9">
        <v>26.209</v>
      </c>
      <c r="CW53" s="9">
        <v>-2.8849999999999998</v>
      </c>
      <c r="CX53" s="9">
        <v>-1.9390000000000001</v>
      </c>
      <c r="CY53" s="9">
        <v>598.53800000000001</v>
      </c>
      <c r="CZ53" s="9">
        <v>43.345999999999997</v>
      </c>
      <c r="DB53" s="9">
        <v>-0.36599999999999999</v>
      </c>
      <c r="DC53" s="9">
        <v>3.214</v>
      </c>
      <c r="DD53" s="9">
        <v>644.73199999999997</v>
      </c>
      <c r="DE53" s="9">
        <v>27.079000000000001</v>
      </c>
      <c r="DG53" s="9">
        <v>0.23599999999999999</v>
      </c>
      <c r="DH53" s="9">
        <v>-3.5270000000000001</v>
      </c>
      <c r="DI53" s="9">
        <v>668.51900000000001</v>
      </c>
      <c r="DJ53" s="9">
        <v>48.131</v>
      </c>
      <c r="DL53" s="9">
        <v>-0.58599999999999997</v>
      </c>
      <c r="DM53" s="9">
        <v>-4.8</v>
      </c>
      <c r="DN53" s="9">
        <v>711.26300000000003</v>
      </c>
      <c r="DO53" s="9">
        <v>59.345999999999997</v>
      </c>
      <c r="DQ53" s="9">
        <v>-2.8820000000000001</v>
      </c>
      <c r="DR53" s="9">
        <v>2.649</v>
      </c>
      <c r="DS53" s="9">
        <v>770.375</v>
      </c>
      <c r="DT53" s="9">
        <v>60.305999999999997</v>
      </c>
      <c r="DV53" s="9">
        <v>-1.1319999999999999</v>
      </c>
      <c r="DW53" s="9">
        <v>-6.2</v>
      </c>
      <c r="DX53" s="9">
        <v>823.35</v>
      </c>
      <c r="DY53" s="9">
        <v>32.853000000000002</v>
      </c>
      <c r="EA53" s="9">
        <v>-1.2</v>
      </c>
      <c r="EB53" s="9">
        <v>4.4589999999999996</v>
      </c>
      <c r="EC53" s="9">
        <v>859.46100000000001</v>
      </c>
      <c r="ED53" s="9">
        <v>100.69199999999999</v>
      </c>
      <c r="EF53" s="9">
        <v>8.5999999999999993E-2</v>
      </c>
      <c r="EG53" s="9">
        <v>-3.7309999999999999</v>
      </c>
      <c r="EH53" s="9">
        <v>956.50800000000004</v>
      </c>
      <c r="EI53" s="9">
        <v>98.572000000000003</v>
      </c>
      <c r="EK53" s="9">
        <v>-0.70699999999999996</v>
      </c>
      <c r="EL53" s="9">
        <v>5.66</v>
      </c>
      <c r="EM53" s="9">
        <v>1060.0329999999999</v>
      </c>
      <c r="EN53" s="9">
        <v>115.79</v>
      </c>
      <c r="EP53" s="9">
        <v>-0.63</v>
      </c>
      <c r="EQ53" s="9">
        <v>-3.2959999999999998</v>
      </c>
      <c r="ER53" s="9">
        <v>1171.8969999999999</v>
      </c>
      <c r="ES53" s="9">
        <v>55.223999999999997</v>
      </c>
      <c r="EU53" s="9">
        <v>1.2310000000000001</v>
      </c>
      <c r="EV53" s="9">
        <v>-1.915</v>
      </c>
      <c r="EW53" s="9">
        <v>1226.4369999999999</v>
      </c>
      <c r="EX53" s="9">
        <v>79.81</v>
      </c>
      <c r="EZ53" s="9">
        <v>0</v>
      </c>
      <c r="FA53" s="9">
        <v>10.936</v>
      </c>
      <c r="FB53" s="9">
        <v>1317.183</v>
      </c>
      <c r="FC53" s="9">
        <v>88.356999999999999</v>
      </c>
      <c r="FE53" s="9">
        <v>0</v>
      </c>
      <c r="FF53" s="9">
        <v>-1.1950000000000001</v>
      </c>
      <c r="FG53" s="9">
        <v>1404.3440000000001</v>
      </c>
      <c r="FH53" s="9">
        <v>40.838999999999999</v>
      </c>
      <c r="FJ53" s="9">
        <v>0</v>
      </c>
      <c r="FK53" s="9">
        <v>5.3179999999999996</v>
      </c>
      <c r="FL53" s="9">
        <v>1450.502</v>
      </c>
      <c r="FM53" s="9">
        <v>-32.643000000000001</v>
      </c>
      <c r="FO53" s="9">
        <v>0.98099999999999998</v>
      </c>
      <c r="FP53" s="9">
        <v>0.97299999999999998</v>
      </c>
      <c r="FQ53" s="9">
        <v>1419.8119999999999</v>
      </c>
      <c r="FR53" s="9">
        <v>21.199000000000002</v>
      </c>
      <c r="FT53" s="9">
        <v>-0.877</v>
      </c>
      <c r="FU53" s="9">
        <v>5.36</v>
      </c>
      <c r="FV53" s="9">
        <v>1445.4949999999999</v>
      </c>
      <c r="FW53" s="9">
        <v>24.814</v>
      </c>
      <c r="FY53" s="9">
        <v>1.5880000000000001</v>
      </c>
      <c r="FZ53" s="9">
        <v>7.0270000000000001</v>
      </c>
      <c r="GA53" s="9">
        <v>1478.924</v>
      </c>
      <c r="GB53" s="9">
        <v>52.975999999999999</v>
      </c>
      <c r="GD53" s="9">
        <v>2.4769999999999999</v>
      </c>
      <c r="GE53" s="9">
        <v>-4.2530000000000001</v>
      </c>
      <c r="GF53" s="9">
        <v>1530.124</v>
      </c>
      <c r="GG53" s="9">
        <v>56.798999999999999</v>
      </c>
      <c r="GI53" s="9">
        <v>0.20200000000000001</v>
      </c>
      <c r="GJ53" s="9">
        <v>-10.375999999999999</v>
      </c>
      <c r="GK53" s="9">
        <v>1576.75</v>
      </c>
      <c r="GL53" s="9">
        <v>83.799000000000007</v>
      </c>
      <c r="GN53" s="9">
        <v>-2.395</v>
      </c>
      <c r="GO53" s="9">
        <v>0.64900000000000002</v>
      </c>
      <c r="GP53" s="9">
        <v>1658.8019999999999</v>
      </c>
      <c r="GQ53" s="9">
        <v>77.177000000000007</v>
      </c>
      <c r="GS53" s="9">
        <v>0.88800000000000001</v>
      </c>
      <c r="GT53" s="9">
        <v>-2.9620000000000002</v>
      </c>
      <c r="GU53" s="9">
        <v>1733.905</v>
      </c>
      <c r="GV53" s="9">
        <v>66.497</v>
      </c>
      <c r="GX53" s="9">
        <v>0.68200000000000005</v>
      </c>
      <c r="GY53" s="9">
        <v>-3.996</v>
      </c>
      <c r="GZ53" s="9">
        <v>1797.0889999999999</v>
      </c>
      <c r="HA53" s="9">
        <v>86.798000000000002</v>
      </c>
      <c r="HC53" s="9">
        <v>-1.056</v>
      </c>
      <c r="HD53" s="9">
        <v>-4.0110000000000001</v>
      </c>
      <c r="HE53" s="9">
        <v>1878.82</v>
      </c>
      <c r="HF53" s="9">
        <v>92.570999999999998</v>
      </c>
      <c r="HH53" s="9">
        <v>1.288</v>
      </c>
      <c r="HI53" s="9">
        <v>-4.3540000000000001</v>
      </c>
      <c r="HJ53" s="9">
        <v>1968.3240000000001</v>
      </c>
      <c r="HK53" s="9">
        <v>87.617999999999995</v>
      </c>
      <c r="HM53" s="9">
        <v>0.91800000000000004</v>
      </c>
      <c r="HN53" s="9">
        <v>1.819</v>
      </c>
      <c r="HO53" s="9">
        <v>2058.6770000000001</v>
      </c>
      <c r="HP53" s="9">
        <v>31.048999999999999</v>
      </c>
      <c r="HR53" s="9">
        <v>-8.0000000000000002E-3</v>
      </c>
      <c r="HS53" s="9">
        <v>-3.3359999999999999</v>
      </c>
      <c r="HT53" s="9">
        <v>2086.3829999999998</v>
      </c>
      <c r="HU53" s="9">
        <v>0.248</v>
      </c>
      <c r="HW53" s="9">
        <v>0.438</v>
      </c>
      <c r="HX53" s="9">
        <v>4.3479999999999999</v>
      </c>
      <c r="HY53" s="9">
        <v>2091.4169999999999</v>
      </c>
    </row>
    <row r="54" spans="1:233" x14ac:dyDescent="0.35">
      <c r="A54" s="12" t="s">
        <v>113</v>
      </c>
      <c r="B54" s="12" t="s">
        <v>114</v>
      </c>
    </row>
    <row r="55" spans="1:233" x14ac:dyDescent="0.35">
      <c r="A55" s="12" t="s">
        <v>115</v>
      </c>
      <c r="B55" s="12" t="s">
        <v>116</v>
      </c>
      <c r="CJ55" s="9">
        <v>0</v>
      </c>
      <c r="CK55" s="9">
        <v>0</v>
      </c>
      <c r="CN55" s="9">
        <v>0</v>
      </c>
      <c r="CO55" s="9">
        <v>0</v>
      </c>
      <c r="CP55" s="9">
        <v>0</v>
      </c>
      <c r="CS55" s="9">
        <v>0</v>
      </c>
      <c r="CT55" s="9">
        <v>0</v>
      </c>
      <c r="CU55" s="9">
        <v>0</v>
      </c>
      <c r="CX55" s="9">
        <v>2E-3</v>
      </c>
      <c r="CY55" s="9">
        <v>2E-3</v>
      </c>
      <c r="CZ55" s="9">
        <v>-2E-3</v>
      </c>
      <c r="DC55" s="9">
        <v>0</v>
      </c>
      <c r="DD55" s="9">
        <v>0</v>
      </c>
      <c r="DE55" s="9">
        <v>0</v>
      </c>
      <c r="DH55" s="9">
        <v>0</v>
      </c>
      <c r="DI55" s="9">
        <v>0</v>
      </c>
      <c r="DJ55" s="9">
        <v>0</v>
      </c>
      <c r="DM55" s="9">
        <v>0</v>
      </c>
      <c r="DN55" s="9">
        <v>0</v>
      </c>
      <c r="DO55" s="9">
        <v>0</v>
      </c>
      <c r="DR55" s="9">
        <v>0</v>
      </c>
      <c r="DS55" s="9">
        <v>0</v>
      </c>
      <c r="DT55" s="9">
        <v>0</v>
      </c>
      <c r="DW55" s="9">
        <v>0</v>
      </c>
      <c r="DX55" s="9">
        <v>0</v>
      </c>
      <c r="DY55" s="9">
        <v>0</v>
      </c>
      <c r="EB55" s="9">
        <v>0</v>
      </c>
      <c r="EC55" s="9">
        <v>0</v>
      </c>
      <c r="ED55" s="9">
        <v>0</v>
      </c>
      <c r="EG55" s="9">
        <v>0</v>
      </c>
      <c r="EH55" s="9">
        <v>0</v>
      </c>
      <c r="EI55" s="9">
        <v>0</v>
      </c>
      <c r="EL55" s="9">
        <v>0</v>
      </c>
      <c r="EM55" s="9">
        <v>0</v>
      </c>
      <c r="EN55" s="9">
        <v>0</v>
      </c>
      <c r="EQ55" s="9">
        <v>0</v>
      </c>
      <c r="ER55" s="9">
        <v>0</v>
      </c>
      <c r="ES55" s="9">
        <v>0</v>
      </c>
      <c r="EV55" s="9">
        <v>0</v>
      </c>
      <c r="EW55" s="9">
        <v>0</v>
      </c>
      <c r="EX55" s="9">
        <v>0</v>
      </c>
      <c r="FA55" s="9">
        <v>0</v>
      </c>
      <c r="FB55" s="9">
        <v>0</v>
      </c>
      <c r="FC55" s="9">
        <v>0</v>
      </c>
      <c r="FF55" s="9">
        <v>0</v>
      </c>
      <c r="FG55" s="9">
        <v>0</v>
      </c>
      <c r="FH55" s="9">
        <v>0</v>
      </c>
      <c r="FK55" s="9">
        <v>0</v>
      </c>
      <c r="FL55" s="9">
        <v>0</v>
      </c>
      <c r="FM55" s="9">
        <v>0</v>
      </c>
      <c r="FP55" s="9">
        <v>0</v>
      </c>
      <c r="FQ55" s="9">
        <v>0</v>
      </c>
      <c r="FR55" s="9">
        <v>0</v>
      </c>
      <c r="FU55" s="9">
        <v>0</v>
      </c>
      <c r="FV55" s="9">
        <v>0</v>
      </c>
      <c r="FW55" s="9">
        <v>0</v>
      </c>
      <c r="FZ55" s="9">
        <v>0</v>
      </c>
      <c r="GA55" s="9">
        <v>0</v>
      </c>
      <c r="GB55" s="9">
        <v>0</v>
      </c>
      <c r="GE55" s="9">
        <v>0</v>
      </c>
      <c r="GF55" s="9">
        <v>0</v>
      </c>
      <c r="GG55" s="9">
        <v>0</v>
      </c>
      <c r="GJ55" s="9">
        <v>0</v>
      </c>
      <c r="GK55" s="9">
        <v>0</v>
      </c>
      <c r="GL55" s="9">
        <v>0</v>
      </c>
      <c r="GO55" s="9">
        <v>0</v>
      </c>
      <c r="GP55" s="9">
        <v>0</v>
      </c>
      <c r="GQ55" s="9">
        <v>0</v>
      </c>
      <c r="GT55" s="9">
        <v>0</v>
      </c>
      <c r="GU55" s="9">
        <v>0</v>
      </c>
      <c r="GV55" s="9">
        <v>0</v>
      </c>
      <c r="GY55" s="9">
        <v>0</v>
      </c>
      <c r="GZ55" s="9">
        <v>0</v>
      </c>
      <c r="HA55" s="9">
        <v>0</v>
      </c>
      <c r="HD55" s="9">
        <v>0</v>
      </c>
      <c r="HE55" s="9">
        <v>0</v>
      </c>
      <c r="HF55" s="9">
        <v>0</v>
      </c>
      <c r="HI55" s="9">
        <v>0</v>
      </c>
      <c r="HJ55" s="9">
        <v>0</v>
      </c>
      <c r="HK55" s="9">
        <v>0</v>
      </c>
      <c r="HN55" s="9">
        <v>0</v>
      </c>
      <c r="HO55" s="9">
        <v>0</v>
      </c>
      <c r="HP55" s="9">
        <v>0</v>
      </c>
      <c r="HS55" s="9">
        <v>0</v>
      </c>
      <c r="HT55" s="9">
        <v>0</v>
      </c>
      <c r="HU55" s="9">
        <v>0</v>
      </c>
      <c r="HX55" s="9">
        <v>0</v>
      </c>
      <c r="HY55" s="9">
        <v>0</v>
      </c>
    </row>
    <row r="56" spans="1:233" x14ac:dyDescent="0.35">
      <c r="A56" s="12" t="s">
        <v>117</v>
      </c>
      <c r="B56" s="12" t="s">
        <v>118</v>
      </c>
    </row>
    <row r="57" spans="1:233" x14ac:dyDescent="0.35">
      <c r="A57" s="12" t="s">
        <v>119</v>
      </c>
      <c r="B57" s="12" t="s">
        <v>120</v>
      </c>
      <c r="CJ57" s="9">
        <v>410.65100000000001</v>
      </c>
      <c r="CK57" s="9">
        <v>16.632000000000001</v>
      </c>
      <c r="CM57" s="9">
        <v>-1</v>
      </c>
      <c r="CN57" s="9">
        <v>-3.0430000000000001</v>
      </c>
      <c r="CO57" s="9">
        <v>423.24</v>
      </c>
      <c r="CP57" s="9">
        <v>20.481000000000002</v>
      </c>
      <c r="CR57" s="9">
        <v>-1.9390000000000001</v>
      </c>
      <c r="CS57" s="9">
        <v>-1.984</v>
      </c>
      <c r="CT57" s="9">
        <v>439.79700000000003</v>
      </c>
      <c r="CU57" s="9">
        <v>11.455</v>
      </c>
      <c r="CW57" s="9">
        <v>-2.8849999999999998</v>
      </c>
      <c r="CX57" s="9">
        <v>-1.4359999999999999</v>
      </c>
      <c r="CY57" s="9">
        <v>446.93200000000002</v>
      </c>
      <c r="CZ57" s="9">
        <v>32.685000000000002</v>
      </c>
      <c r="DB57" s="9">
        <v>-0.36599999999999999</v>
      </c>
      <c r="DC57" s="9">
        <v>-3.1890000000000001</v>
      </c>
      <c r="DD57" s="9">
        <v>476.06099999999998</v>
      </c>
      <c r="DE57" s="9">
        <v>32.676000000000002</v>
      </c>
      <c r="DG57" s="9">
        <v>0.23599999999999999</v>
      </c>
      <c r="DH57" s="9">
        <v>-3.5179999999999998</v>
      </c>
      <c r="DI57" s="9">
        <v>505.45499999999998</v>
      </c>
      <c r="DJ57" s="9">
        <v>31.516999999999999</v>
      </c>
      <c r="DL57" s="9">
        <v>-0.58599999999999997</v>
      </c>
      <c r="DM57" s="9">
        <v>-4.7060000000000004</v>
      </c>
      <c r="DN57" s="9">
        <v>531.67899999999997</v>
      </c>
      <c r="DO57" s="9">
        <v>30.215</v>
      </c>
      <c r="DQ57" s="9">
        <v>-2.8820000000000001</v>
      </c>
      <c r="DR57" s="9">
        <v>2.6589999999999998</v>
      </c>
      <c r="DS57" s="9">
        <v>561.66999999999996</v>
      </c>
      <c r="DT57" s="9">
        <v>42.603000000000002</v>
      </c>
      <c r="DV57" s="9">
        <v>-1.1319999999999999</v>
      </c>
      <c r="DW57" s="9">
        <v>-2.758</v>
      </c>
      <c r="DX57" s="9">
        <v>600.38400000000001</v>
      </c>
      <c r="DY57" s="9">
        <v>52.098999999999997</v>
      </c>
      <c r="EA57" s="9">
        <v>-1.2</v>
      </c>
      <c r="EB57" s="9">
        <v>4.4889999999999999</v>
      </c>
      <c r="EC57" s="9">
        <v>655.77099999999996</v>
      </c>
      <c r="ED57" s="9">
        <v>78.873000000000005</v>
      </c>
      <c r="EF57" s="9">
        <v>8.5999999999999993E-2</v>
      </c>
      <c r="EG57" s="9">
        <v>-3.7309999999999999</v>
      </c>
      <c r="EH57" s="9">
        <v>730.99900000000002</v>
      </c>
      <c r="EI57" s="9">
        <v>76.091999999999999</v>
      </c>
      <c r="EK57" s="9">
        <v>-0.70699999999999996</v>
      </c>
      <c r="EL57" s="9">
        <v>6.21</v>
      </c>
      <c r="EM57" s="9">
        <v>812.59299999999996</v>
      </c>
      <c r="EN57" s="9">
        <v>92.557000000000002</v>
      </c>
      <c r="EP57" s="9">
        <v>-0.63</v>
      </c>
      <c r="EQ57" s="9">
        <v>-3.298</v>
      </c>
      <c r="ER57" s="9">
        <v>901.22199999999998</v>
      </c>
      <c r="ES57" s="9">
        <v>66.016000000000005</v>
      </c>
      <c r="EU57" s="9">
        <v>1.2310000000000001</v>
      </c>
      <c r="EV57" s="9">
        <v>0.27100000000000002</v>
      </c>
      <c r="EW57" s="9">
        <v>968.74</v>
      </c>
      <c r="EX57" s="9">
        <v>30.962</v>
      </c>
      <c r="EZ57" s="9">
        <v>0</v>
      </c>
      <c r="FA57" s="9">
        <v>15.686999999999999</v>
      </c>
      <c r="FB57" s="9">
        <v>1015.389</v>
      </c>
      <c r="FC57" s="9">
        <v>53.145000000000003</v>
      </c>
      <c r="FE57" s="9">
        <v>0</v>
      </c>
      <c r="FF57" s="9">
        <v>-1.7130000000000001</v>
      </c>
      <c r="FG57" s="9">
        <v>1066.8209999999999</v>
      </c>
      <c r="FH57" s="9">
        <v>51.911999999999999</v>
      </c>
      <c r="FJ57" s="9">
        <v>0</v>
      </c>
      <c r="FK57" s="9">
        <v>5.5629999999999997</v>
      </c>
      <c r="FL57" s="9">
        <v>1124.2950000000001</v>
      </c>
      <c r="FM57" s="9">
        <v>23.917999999999999</v>
      </c>
      <c r="FO57" s="9">
        <v>0.98099999999999998</v>
      </c>
      <c r="FP57" s="9">
        <v>-1.2230000000000001</v>
      </c>
      <c r="FQ57" s="9">
        <v>1147.971</v>
      </c>
      <c r="FR57" s="9">
        <v>19.952999999999999</v>
      </c>
      <c r="FT57" s="9">
        <v>-0.877</v>
      </c>
      <c r="FU57" s="9">
        <v>2.5870000000000002</v>
      </c>
      <c r="FV57" s="9">
        <v>1169.634</v>
      </c>
      <c r="FW57" s="9">
        <v>22.745000000000001</v>
      </c>
      <c r="FY57" s="9">
        <v>1.5840000000000001</v>
      </c>
      <c r="FZ57" s="9">
        <v>3.9649999999999999</v>
      </c>
      <c r="GA57" s="9">
        <v>1197.9280000000001</v>
      </c>
      <c r="GB57" s="9">
        <v>36.845999999999997</v>
      </c>
      <c r="GD57" s="9">
        <v>2.48</v>
      </c>
      <c r="GE57" s="9">
        <v>-3.8279999999999998</v>
      </c>
      <c r="GF57" s="9">
        <v>1233.4259999999999</v>
      </c>
      <c r="GG57" s="9">
        <v>54.884999999999998</v>
      </c>
      <c r="GI57" s="9">
        <v>0.20799999999999999</v>
      </c>
      <c r="GJ57" s="9">
        <v>-10.54</v>
      </c>
      <c r="GK57" s="9">
        <v>1277.98</v>
      </c>
      <c r="GL57" s="9">
        <v>65.88</v>
      </c>
      <c r="GN57" s="9">
        <v>-2.3809999999999998</v>
      </c>
      <c r="GO57" s="9">
        <v>0.54600000000000004</v>
      </c>
      <c r="GP57" s="9">
        <v>1342.0239999999999</v>
      </c>
      <c r="GQ57" s="9">
        <v>73.451999999999998</v>
      </c>
      <c r="GS57" s="9">
        <v>0.91300000000000003</v>
      </c>
      <c r="GT57" s="9">
        <v>-2.3069999999999999</v>
      </c>
      <c r="GU57" s="9">
        <v>1414.0809999999999</v>
      </c>
      <c r="GV57" s="9">
        <v>85.356999999999999</v>
      </c>
      <c r="GX57" s="9">
        <v>0.67900000000000005</v>
      </c>
      <c r="GY57" s="9">
        <v>-3.5590000000000002</v>
      </c>
      <c r="GZ57" s="9">
        <v>1496.558</v>
      </c>
      <c r="HA57" s="9">
        <v>67.628</v>
      </c>
      <c r="HC57" s="9">
        <v>-1.0589999999999999</v>
      </c>
      <c r="HD57" s="9">
        <v>-3.3540000000000001</v>
      </c>
      <c r="HE57" s="9">
        <v>1559.7739999999999</v>
      </c>
      <c r="HF57" s="9">
        <v>89.552000000000007</v>
      </c>
      <c r="HH57" s="9">
        <v>1.355</v>
      </c>
      <c r="HI57" s="9">
        <v>-5.1260000000000003</v>
      </c>
      <c r="HJ57" s="9">
        <v>1645.5550000000001</v>
      </c>
      <c r="HK57" s="9">
        <v>84.012</v>
      </c>
      <c r="HM57" s="9">
        <v>0.91800000000000004</v>
      </c>
      <c r="HN57" s="9">
        <v>-2.4460000000000002</v>
      </c>
      <c r="HO57" s="9">
        <v>1728.037</v>
      </c>
      <c r="HP57" s="9">
        <v>22.827000000000002</v>
      </c>
      <c r="HR57" s="9">
        <v>0.17899999999999999</v>
      </c>
      <c r="HS57" s="9">
        <v>-3.278</v>
      </c>
      <c r="HT57" s="9">
        <v>1747.7650000000001</v>
      </c>
      <c r="HU57" s="9">
        <v>2.9780000000000002</v>
      </c>
      <c r="HW57" s="9">
        <v>0.503</v>
      </c>
      <c r="HX57" s="9">
        <v>-2.6829999999999998</v>
      </c>
      <c r="HY57" s="9">
        <v>1748.5619999999999</v>
      </c>
    </row>
    <row r="58" spans="1:233" x14ac:dyDescent="0.35">
      <c r="A58" s="12" t="s">
        <v>121</v>
      </c>
      <c r="B58" s="12" t="s">
        <v>122</v>
      </c>
    </row>
    <row r="59" spans="1:233" x14ac:dyDescent="0.35">
      <c r="A59" s="12" t="s">
        <v>123</v>
      </c>
      <c r="B59" s="12" t="s">
        <v>320</v>
      </c>
    </row>
    <row r="60" spans="1:233" x14ac:dyDescent="0.35">
      <c r="A60" s="12" t="s">
        <v>125</v>
      </c>
      <c r="B60" s="12" t="s">
        <v>126</v>
      </c>
    </row>
    <row r="61" spans="1:233" x14ac:dyDescent="0.35">
      <c r="A61" s="12" t="s">
        <v>127</v>
      </c>
      <c r="B61" s="12" t="s">
        <v>128</v>
      </c>
      <c r="CJ61" s="9">
        <v>0</v>
      </c>
      <c r="CK61" s="9">
        <v>0</v>
      </c>
      <c r="CM61" s="9">
        <v>0</v>
      </c>
      <c r="CN61" s="9">
        <v>0</v>
      </c>
      <c r="CO61" s="9">
        <v>0</v>
      </c>
      <c r="CP61" s="9">
        <v>0</v>
      </c>
      <c r="CR61" s="9">
        <v>0</v>
      </c>
      <c r="CS61" s="9">
        <v>0</v>
      </c>
      <c r="CT61" s="9">
        <v>0</v>
      </c>
      <c r="CU61" s="9">
        <v>0</v>
      </c>
      <c r="CW61" s="9">
        <v>0</v>
      </c>
      <c r="CX61" s="9">
        <v>0</v>
      </c>
      <c r="CY61" s="9">
        <v>0</v>
      </c>
      <c r="CZ61" s="9">
        <v>0</v>
      </c>
      <c r="DB61" s="9">
        <v>0</v>
      </c>
      <c r="DC61" s="9">
        <v>0</v>
      </c>
      <c r="DD61" s="9">
        <v>0</v>
      </c>
      <c r="DE61" s="9">
        <v>0</v>
      </c>
      <c r="DG61" s="9">
        <v>0</v>
      </c>
      <c r="DH61" s="9">
        <v>0</v>
      </c>
      <c r="DI61" s="9">
        <v>0</v>
      </c>
      <c r="DJ61" s="9">
        <v>0</v>
      </c>
      <c r="DL61" s="9">
        <v>0</v>
      </c>
      <c r="DM61" s="9">
        <v>0</v>
      </c>
      <c r="DN61" s="9">
        <v>0</v>
      </c>
      <c r="DO61" s="9">
        <v>0</v>
      </c>
      <c r="DQ61" s="9">
        <v>0</v>
      </c>
      <c r="DR61" s="9">
        <v>0</v>
      </c>
      <c r="DS61" s="9">
        <v>0</v>
      </c>
      <c r="DT61" s="9">
        <v>0</v>
      </c>
      <c r="DV61" s="9">
        <v>0</v>
      </c>
      <c r="DW61" s="9">
        <v>0</v>
      </c>
      <c r="DX61" s="9">
        <v>0</v>
      </c>
      <c r="DY61" s="9">
        <v>0</v>
      </c>
      <c r="EA61" s="9">
        <v>0</v>
      </c>
      <c r="EB61" s="9">
        <v>0</v>
      </c>
      <c r="EC61" s="9">
        <v>0</v>
      </c>
      <c r="ED61" s="9">
        <v>0</v>
      </c>
      <c r="EF61" s="9">
        <v>0</v>
      </c>
      <c r="EG61" s="9">
        <v>0</v>
      </c>
      <c r="EH61" s="9">
        <v>0</v>
      </c>
      <c r="EI61" s="9">
        <v>0</v>
      </c>
      <c r="EK61" s="9">
        <v>0</v>
      </c>
      <c r="EL61" s="9">
        <v>0</v>
      </c>
      <c r="EM61" s="9">
        <v>0</v>
      </c>
      <c r="EN61" s="9">
        <v>0</v>
      </c>
      <c r="EP61" s="9">
        <v>0</v>
      </c>
      <c r="EQ61" s="9">
        <v>0</v>
      </c>
      <c r="ER61" s="9">
        <v>0</v>
      </c>
      <c r="ES61" s="9">
        <v>0</v>
      </c>
      <c r="EU61" s="9">
        <v>0</v>
      </c>
      <c r="EV61" s="9">
        <v>0</v>
      </c>
      <c r="EW61" s="9">
        <v>0</v>
      </c>
      <c r="EX61" s="9">
        <v>0</v>
      </c>
      <c r="EZ61" s="9">
        <v>0</v>
      </c>
      <c r="FA61" s="9">
        <v>0</v>
      </c>
      <c r="FB61" s="9">
        <v>0</v>
      </c>
      <c r="FC61" s="9">
        <v>0</v>
      </c>
      <c r="FE61" s="9">
        <v>0</v>
      </c>
      <c r="FF61" s="9">
        <v>0</v>
      </c>
      <c r="FG61" s="9">
        <v>0</v>
      </c>
      <c r="FH61" s="9">
        <v>0</v>
      </c>
      <c r="FJ61" s="9">
        <v>0</v>
      </c>
      <c r="FK61" s="9">
        <v>0</v>
      </c>
      <c r="FL61" s="9">
        <v>0</v>
      </c>
      <c r="FM61" s="9">
        <v>0</v>
      </c>
      <c r="FO61" s="9">
        <v>0</v>
      </c>
      <c r="FP61" s="9">
        <v>0</v>
      </c>
      <c r="FQ61" s="9">
        <v>0</v>
      </c>
      <c r="FR61" s="9">
        <v>0</v>
      </c>
      <c r="FT61" s="9">
        <v>0</v>
      </c>
      <c r="FU61" s="9">
        <v>0</v>
      </c>
      <c r="FV61" s="9">
        <v>0</v>
      </c>
      <c r="FW61" s="9">
        <v>-1.4E-2</v>
      </c>
      <c r="FY61" s="9">
        <v>4.0000000000000001E-3</v>
      </c>
      <c r="FZ61" s="9">
        <v>2.1000000000000001E-2</v>
      </c>
      <c r="GA61" s="9">
        <v>1.0999999999999999E-2</v>
      </c>
      <c r="GB61" s="9">
        <v>1E-3</v>
      </c>
      <c r="GD61" s="9">
        <v>-3.0000000000000001E-3</v>
      </c>
      <c r="GE61" s="9">
        <v>0</v>
      </c>
      <c r="GF61" s="9">
        <v>8.9999999999999993E-3</v>
      </c>
      <c r="GG61" s="9">
        <v>4.8000000000000001E-2</v>
      </c>
      <c r="GI61" s="9">
        <v>-5.0000000000000001E-3</v>
      </c>
      <c r="GJ61" s="9">
        <v>0</v>
      </c>
      <c r="GK61" s="9">
        <v>5.0999999999999997E-2</v>
      </c>
      <c r="GL61" s="9">
        <v>1.7999999999999999E-2</v>
      </c>
      <c r="GN61" s="9">
        <v>-1.4E-2</v>
      </c>
      <c r="GO61" s="9">
        <v>0</v>
      </c>
      <c r="GP61" s="9">
        <v>5.6000000000000001E-2</v>
      </c>
      <c r="GQ61" s="9">
        <v>0.16700000000000001</v>
      </c>
      <c r="GS61" s="9">
        <v>-2.5000000000000001E-2</v>
      </c>
      <c r="GT61" s="9">
        <v>0</v>
      </c>
      <c r="GU61" s="9">
        <v>0.19800000000000001</v>
      </c>
      <c r="GV61" s="9">
        <v>1.2999999999999999E-2</v>
      </c>
      <c r="GX61" s="9">
        <v>3.0000000000000001E-3</v>
      </c>
      <c r="GY61" s="9">
        <v>0</v>
      </c>
      <c r="GZ61" s="9">
        <v>0.21299999999999999</v>
      </c>
      <c r="HA61" s="9">
        <v>8.8999999999999996E-2</v>
      </c>
      <c r="HC61" s="9">
        <v>3.0000000000000001E-3</v>
      </c>
      <c r="HD61" s="9">
        <v>0</v>
      </c>
      <c r="HE61" s="9">
        <v>0.30499999999999999</v>
      </c>
      <c r="HF61" s="9">
        <v>0.11600000000000001</v>
      </c>
      <c r="HH61" s="9">
        <v>-6.7000000000000004E-2</v>
      </c>
      <c r="HI61" s="9">
        <v>0</v>
      </c>
      <c r="HJ61" s="9">
        <v>0.35399999999999998</v>
      </c>
      <c r="HK61" s="9">
        <v>0.29899999999999999</v>
      </c>
      <c r="HM61" s="9">
        <v>0</v>
      </c>
      <c r="HN61" s="9">
        <v>0</v>
      </c>
      <c r="HO61" s="9">
        <v>0.65300000000000002</v>
      </c>
      <c r="HP61" s="9">
        <v>-0.185</v>
      </c>
      <c r="HR61" s="9">
        <v>-0.187</v>
      </c>
      <c r="HS61" s="9">
        <v>0</v>
      </c>
      <c r="HT61" s="9">
        <v>0.28199999999999997</v>
      </c>
      <c r="HU61" s="9">
        <v>0.28699999999999998</v>
      </c>
      <c r="HW61" s="9">
        <v>-6.5000000000000002E-2</v>
      </c>
      <c r="HX61" s="9">
        <v>0</v>
      </c>
      <c r="HY61" s="9">
        <v>0.504</v>
      </c>
    </row>
    <row r="62" spans="1:233" x14ac:dyDescent="0.35">
      <c r="A62" s="12" t="s">
        <v>129</v>
      </c>
      <c r="B62" s="12" t="s">
        <v>130</v>
      </c>
      <c r="CJ62" s="9">
        <v>106.13200000000001</v>
      </c>
      <c r="CK62" s="9">
        <v>13.214</v>
      </c>
      <c r="CN62" s="9">
        <v>0.03</v>
      </c>
      <c r="CO62" s="9">
        <v>119.376</v>
      </c>
      <c r="CP62" s="9">
        <v>18.96</v>
      </c>
      <c r="CS62" s="9">
        <v>-0.97899999999999998</v>
      </c>
      <c r="CT62" s="9">
        <v>137.35599999999999</v>
      </c>
      <c r="CU62" s="9">
        <v>14.754</v>
      </c>
      <c r="CX62" s="9">
        <v>-0.505</v>
      </c>
      <c r="CY62" s="9">
        <v>151.60499999999999</v>
      </c>
      <c r="CZ62" s="9">
        <v>10.664</v>
      </c>
      <c r="DC62" s="9">
        <v>6.4029999999999996</v>
      </c>
      <c r="DD62" s="9">
        <v>168.67099999999999</v>
      </c>
      <c r="DE62" s="9">
        <v>-5.5979999999999999</v>
      </c>
      <c r="DH62" s="9">
        <v>-0.01</v>
      </c>
      <c r="DI62" s="9">
        <v>163.06399999999999</v>
      </c>
      <c r="DJ62" s="9">
        <v>16.614000000000001</v>
      </c>
      <c r="DM62" s="9">
        <v>-9.4E-2</v>
      </c>
      <c r="DN62" s="9">
        <v>179.584</v>
      </c>
      <c r="DO62" s="9">
        <v>29.131</v>
      </c>
      <c r="DR62" s="9">
        <v>-0.01</v>
      </c>
      <c r="DS62" s="9">
        <v>208.70500000000001</v>
      </c>
      <c r="DT62" s="9">
        <v>17.702999999999999</v>
      </c>
      <c r="DW62" s="9">
        <v>-3.4420000000000002</v>
      </c>
      <c r="DX62" s="9">
        <v>222.96600000000001</v>
      </c>
      <c r="DY62" s="9">
        <v>-19.245999999999999</v>
      </c>
      <c r="EB62" s="9">
        <v>-0.03</v>
      </c>
      <c r="EC62" s="9">
        <v>203.69</v>
      </c>
      <c r="ED62" s="9">
        <v>21.82</v>
      </c>
      <c r="EG62" s="9">
        <v>0</v>
      </c>
      <c r="EH62" s="9">
        <v>225.51</v>
      </c>
      <c r="EI62" s="9">
        <v>22.48</v>
      </c>
      <c r="EL62" s="9">
        <v>-0.55000000000000004</v>
      </c>
      <c r="EM62" s="9">
        <v>247.44</v>
      </c>
      <c r="EN62" s="9">
        <v>23.233000000000001</v>
      </c>
      <c r="EQ62" s="9">
        <v>2E-3</v>
      </c>
      <c r="ER62" s="9">
        <v>270.67500000000001</v>
      </c>
      <c r="ES62" s="9">
        <v>-10.792</v>
      </c>
      <c r="EV62" s="9">
        <v>-2.1859999999999999</v>
      </c>
      <c r="EW62" s="9">
        <v>257.697</v>
      </c>
      <c r="EX62" s="9">
        <v>48.847999999999999</v>
      </c>
      <c r="FA62" s="9">
        <v>-4.7510000000000003</v>
      </c>
      <c r="FB62" s="9">
        <v>301.79399999999998</v>
      </c>
      <c r="FC62" s="9">
        <v>35.212000000000003</v>
      </c>
      <c r="FF62" s="9">
        <v>0.51800000000000002</v>
      </c>
      <c r="FG62" s="9">
        <v>337.524</v>
      </c>
      <c r="FH62" s="9">
        <v>-11.073</v>
      </c>
      <c r="FK62" s="9">
        <v>-0.245</v>
      </c>
      <c r="FL62" s="9">
        <v>326.20600000000002</v>
      </c>
      <c r="FM62" s="9">
        <v>-56.561</v>
      </c>
      <c r="FP62" s="9">
        <v>2.1960000000000002</v>
      </c>
      <c r="FQ62" s="9">
        <v>271.84100000000001</v>
      </c>
      <c r="FR62" s="9">
        <v>1.246</v>
      </c>
      <c r="FU62" s="9">
        <v>2.774</v>
      </c>
      <c r="FV62" s="9">
        <v>275.86099999999999</v>
      </c>
      <c r="FW62" s="9">
        <v>2.0830000000000002</v>
      </c>
      <c r="FZ62" s="9">
        <v>3.0409999999999999</v>
      </c>
      <c r="GA62" s="9">
        <v>280.98500000000001</v>
      </c>
      <c r="GB62" s="9">
        <v>16.129000000000001</v>
      </c>
      <c r="GE62" s="9">
        <v>-0.42499999999999999</v>
      </c>
      <c r="GF62" s="9">
        <v>296.68900000000002</v>
      </c>
      <c r="GG62" s="9">
        <v>1.867</v>
      </c>
      <c r="GJ62" s="9">
        <v>0.16400000000000001</v>
      </c>
      <c r="GK62" s="9">
        <v>298.71899999999999</v>
      </c>
      <c r="GL62" s="9">
        <v>17.901</v>
      </c>
      <c r="GO62" s="9">
        <v>0.10299999999999999</v>
      </c>
      <c r="GP62" s="9">
        <v>316.72300000000001</v>
      </c>
      <c r="GQ62" s="9">
        <v>3.5579999999999998</v>
      </c>
      <c r="GT62" s="9">
        <v>-0.65500000000000003</v>
      </c>
      <c r="GU62" s="9">
        <v>319.62700000000001</v>
      </c>
      <c r="GV62" s="9">
        <v>-18.873000000000001</v>
      </c>
      <c r="GY62" s="9">
        <v>-0.437</v>
      </c>
      <c r="GZ62" s="9">
        <v>300.31700000000001</v>
      </c>
      <c r="HA62" s="9">
        <v>19.079999999999998</v>
      </c>
      <c r="HD62" s="9">
        <v>-0.65700000000000003</v>
      </c>
      <c r="HE62" s="9">
        <v>318.74</v>
      </c>
      <c r="HF62" s="9">
        <v>2.903</v>
      </c>
      <c r="HI62" s="9">
        <v>0.77200000000000002</v>
      </c>
      <c r="HJ62" s="9">
        <v>322.41500000000002</v>
      </c>
      <c r="HK62" s="9">
        <v>3.3069999999999999</v>
      </c>
      <c r="HN62" s="9">
        <v>4.2649999999999997</v>
      </c>
      <c r="HO62" s="9">
        <v>329.988</v>
      </c>
      <c r="HP62" s="9">
        <v>8.4060000000000006</v>
      </c>
      <c r="HS62" s="9">
        <v>-5.8000000000000003E-2</v>
      </c>
      <c r="HT62" s="9">
        <v>338.33600000000001</v>
      </c>
      <c r="HU62" s="9">
        <v>-3.0169999999999999</v>
      </c>
      <c r="HX62" s="9">
        <v>7.0309999999999997</v>
      </c>
      <c r="HY62" s="9">
        <v>342.351</v>
      </c>
    </row>
    <row r="63" spans="1:233" x14ac:dyDescent="0.35">
      <c r="B63" s="2" t="s">
        <v>48</v>
      </c>
    </row>
    <row r="64" spans="1:233" x14ac:dyDescent="0.35">
      <c r="A64" s="12" t="s">
        <v>134</v>
      </c>
      <c r="B64" s="12" t="s">
        <v>135</v>
      </c>
      <c r="CJ64" s="9">
        <v>3563.6770000000001</v>
      </c>
      <c r="CO64" s="9">
        <v>3723.1590000000001</v>
      </c>
      <c r="CT64" s="9">
        <v>3873.9789999999998</v>
      </c>
      <c r="CY64" s="9">
        <v>4125.1930000000002</v>
      </c>
      <c r="DD64" s="9">
        <v>4630.6710000000003</v>
      </c>
      <c r="DI64" s="9">
        <v>4971.5720000000001</v>
      </c>
      <c r="DN64" s="9">
        <v>5147.5429999999997</v>
      </c>
      <c r="DS64" s="9">
        <v>5512.0169999999998</v>
      </c>
      <c r="DX64" s="9">
        <v>6188.9750000000004</v>
      </c>
      <c r="EC64" s="9">
        <v>7044.4660000000003</v>
      </c>
      <c r="EH64" s="9">
        <v>7985.9390000000003</v>
      </c>
      <c r="EM64" s="9">
        <v>8881.1610000000001</v>
      </c>
      <c r="ER64" s="9">
        <v>9416.3610000000008</v>
      </c>
      <c r="EW64" s="9">
        <v>8807.3819999999996</v>
      </c>
      <c r="FB64" s="9">
        <v>8944.6839999999993</v>
      </c>
      <c r="FG64" s="9">
        <v>9686.4169999999995</v>
      </c>
      <c r="FL64" s="9">
        <v>9953.4850000000006</v>
      </c>
      <c r="FQ64" s="9">
        <v>10090.013000000001</v>
      </c>
      <c r="FV64" s="9">
        <v>10203.931</v>
      </c>
      <c r="GA64" s="9">
        <v>10291.041999999999</v>
      </c>
      <c r="GF64" s="9">
        <v>10526.296</v>
      </c>
      <c r="GK64" s="9">
        <v>11048.888000000001</v>
      </c>
      <c r="GP64" s="9">
        <v>11536.01</v>
      </c>
      <c r="GU64" s="9">
        <v>11754.215</v>
      </c>
      <c r="GZ64" s="9">
        <v>12605.425999999999</v>
      </c>
      <c r="HE64" s="9">
        <v>13372.573</v>
      </c>
      <c r="HJ64" s="9">
        <v>14496.725</v>
      </c>
      <c r="HO64" s="9">
        <v>14570.136</v>
      </c>
      <c r="HT64" s="9">
        <v>14652.012000000001</v>
      </c>
      <c r="HY64" s="9">
        <v>14753.517</v>
      </c>
    </row>
    <row r="66" spans="1:119" x14ac:dyDescent="0.35">
      <c r="A66" s="5" t="s">
        <v>137</v>
      </c>
    </row>
    <row r="67" spans="1:119" x14ac:dyDescent="0.35">
      <c r="CI67">
        <v>1995</v>
      </c>
      <c r="CJ67" s="8">
        <v>1996</v>
      </c>
      <c r="CK67" s="8">
        <f>CJ67+1</f>
        <v>1997</v>
      </c>
      <c r="CL67" s="8">
        <f t="shared" ref="CL67:DL67" si="0">CK67+1</f>
        <v>1998</v>
      </c>
      <c r="CM67" s="8">
        <f t="shared" si="0"/>
        <v>1999</v>
      </c>
      <c r="CN67" s="8">
        <f t="shared" si="0"/>
        <v>2000</v>
      </c>
      <c r="CO67" s="8">
        <f t="shared" si="0"/>
        <v>2001</v>
      </c>
      <c r="CP67" s="8">
        <f t="shared" si="0"/>
        <v>2002</v>
      </c>
      <c r="CQ67" s="8">
        <f t="shared" si="0"/>
        <v>2003</v>
      </c>
      <c r="CR67" s="8">
        <f t="shared" si="0"/>
        <v>2004</v>
      </c>
      <c r="CS67" s="8">
        <f t="shared" si="0"/>
        <v>2005</v>
      </c>
      <c r="CT67" s="8">
        <f t="shared" si="0"/>
        <v>2006</v>
      </c>
      <c r="CU67" s="8">
        <f t="shared" si="0"/>
        <v>2007</v>
      </c>
      <c r="CV67" s="8">
        <f t="shared" si="0"/>
        <v>2008</v>
      </c>
      <c r="CW67" s="8">
        <f t="shared" si="0"/>
        <v>2009</v>
      </c>
      <c r="CX67" s="8">
        <f t="shared" si="0"/>
        <v>2010</v>
      </c>
      <c r="CY67" s="8">
        <f t="shared" si="0"/>
        <v>2011</v>
      </c>
      <c r="CZ67" s="8">
        <f t="shared" si="0"/>
        <v>2012</v>
      </c>
      <c r="DA67" s="8">
        <f t="shared" si="0"/>
        <v>2013</v>
      </c>
      <c r="DB67" s="8">
        <f t="shared" si="0"/>
        <v>2014</v>
      </c>
      <c r="DC67" s="8">
        <f t="shared" si="0"/>
        <v>2015</v>
      </c>
      <c r="DD67" s="8">
        <f t="shared" si="0"/>
        <v>2016</v>
      </c>
      <c r="DE67" s="8">
        <f>DD67+1</f>
        <v>2017</v>
      </c>
      <c r="DF67" s="8">
        <f t="shared" si="0"/>
        <v>2018</v>
      </c>
      <c r="DG67" s="8">
        <f t="shared" si="0"/>
        <v>2019</v>
      </c>
      <c r="DH67" s="8">
        <f t="shared" si="0"/>
        <v>2020</v>
      </c>
      <c r="DI67" s="8">
        <f t="shared" si="0"/>
        <v>2021</v>
      </c>
      <c r="DJ67" s="8">
        <f>DI67+1</f>
        <v>2022</v>
      </c>
      <c r="DK67" s="8">
        <f t="shared" si="0"/>
        <v>2023</v>
      </c>
      <c r="DL67" s="8">
        <f t="shared" si="0"/>
        <v>2024</v>
      </c>
      <c r="DM67" s="8"/>
    </row>
    <row r="68" spans="1:119" x14ac:dyDescent="0.35">
      <c r="A68" s="23" t="s">
        <v>321</v>
      </c>
      <c r="B68" s="12" t="s">
        <v>259</v>
      </c>
      <c r="CJ68" s="6">
        <f>CK7</f>
        <v>63.947000000000003</v>
      </c>
      <c r="CK68" s="6">
        <f>CP7</f>
        <v>66.138999999999996</v>
      </c>
      <c r="CL68" s="6">
        <f>CU7</f>
        <v>70.727999999999994</v>
      </c>
      <c r="CM68" s="6">
        <f>CZ7</f>
        <v>76.510999999999996</v>
      </c>
      <c r="CN68" s="6">
        <f>DE7</f>
        <v>78.564999999999998</v>
      </c>
      <c r="CO68" s="6">
        <f>DJ7</f>
        <v>82.84</v>
      </c>
      <c r="CP68" s="6">
        <f>DO7</f>
        <v>86.34</v>
      </c>
      <c r="CQ68" s="6">
        <f>DT7</f>
        <v>90.962000000000003</v>
      </c>
      <c r="CR68" s="6">
        <f>DY7</f>
        <v>101.039</v>
      </c>
      <c r="CS68" s="6">
        <f>ED7</f>
        <v>105.096</v>
      </c>
      <c r="CT68" s="6">
        <f>EI7</f>
        <v>115.884</v>
      </c>
      <c r="CU68" s="6">
        <f>EN7</f>
        <v>123.66200000000001</v>
      </c>
      <c r="CV68" s="6">
        <f>ES7</f>
        <v>126.926</v>
      </c>
      <c r="CW68" s="6">
        <f>EX7</f>
        <v>108.429</v>
      </c>
      <c r="CX68" s="6">
        <f>FC7</f>
        <v>112.626</v>
      </c>
      <c r="CY68" s="6">
        <f>FH7</f>
        <v>117.727</v>
      </c>
      <c r="CZ68" s="6">
        <f>FM7</f>
        <v>116.56399999999999</v>
      </c>
      <c r="DA68" s="6">
        <f>FR7</f>
        <v>116.684</v>
      </c>
      <c r="DB68" s="6">
        <f>FW7</f>
        <v>115.84099999999999</v>
      </c>
      <c r="DC68" s="6">
        <f>GB7</f>
        <v>116.111</v>
      </c>
      <c r="DD68" s="6">
        <f>GG7</f>
        <v>120.11499999999999</v>
      </c>
      <c r="DE68" s="6">
        <f>GL7</f>
        <v>129.62200000000001</v>
      </c>
      <c r="DF68" s="6">
        <f>GQ7</f>
        <v>136.07499999999999</v>
      </c>
      <c r="DG68" s="6">
        <f>GV7</f>
        <v>142.51900000000001</v>
      </c>
      <c r="DH68" s="6">
        <f>HA7</f>
        <v>136.93700000000001</v>
      </c>
      <c r="DI68" s="6">
        <f>HF7</f>
        <v>163.6</v>
      </c>
      <c r="DJ68" s="6">
        <f>HK7</f>
        <v>170.87899999999999</v>
      </c>
      <c r="DK68" s="6">
        <f>HP7</f>
        <v>160.34</v>
      </c>
      <c r="DL68" s="6">
        <f>HU7</f>
        <v>150.69</v>
      </c>
    </row>
    <row r="69" spans="1:119" x14ac:dyDescent="0.35">
      <c r="A69" s="23"/>
      <c r="B69" s="12" t="s">
        <v>112</v>
      </c>
      <c r="CJ69" s="6">
        <f>CK39</f>
        <v>65.046000000000006</v>
      </c>
      <c r="CK69" s="6">
        <f>CP39</f>
        <v>79.167000000000002</v>
      </c>
      <c r="CL69" s="6">
        <f>CU39</f>
        <v>59.948999999999998</v>
      </c>
      <c r="CM69" s="6">
        <f>CZ39</f>
        <v>83.03</v>
      </c>
      <c r="CN69" s="6">
        <f>DE39</f>
        <v>68.242999999999995</v>
      </c>
      <c r="CO69" s="6">
        <f>DJ39</f>
        <v>101.61799999999999</v>
      </c>
      <c r="CP69" s="6">
        <f>DO39</f>
        <v>106.94799999999999</v>
      </c>
      <c r="CQ69" s="6">
        <f>DT39</f>
        <v>114.434</v>
      </c>
      <c r="CR69" s="6">
        <f>DY39</f>
        <v>82.075000000000003</v>
      </c>
      <c r="CS69" s="6">
        <f>ED39</f>
        <v>129.797</v>
      </c>
      <c r="CT69" s="6">
        <f>EI39</f>
        <v>140.97399999999999</v>
      </c>
      <c r="CU69" s="6">
        <f>EN39</f>
        <v>155.268</v>
      </c>
      <c r="CV69" s="6">
        <f>ES39</f>
        <v>117.321</v>
      </c>
      <c r="CW69" s="6">
        <f>EX39</f>
        <v>152.42400000000001</v>
      </c>
      <c r="CX69" s="6">
        <f>FC39</f>
        <v>172.291</v>
      </c>
      <c r="CY69" s="6">
        <f>FH39</f>
        <v>106.569</v>
      </c>
      <c r="CZ69" s="6">
        <f>FM39</f>
        <v>29.192</v>
      </c>
      <c r="DA69" s="6">
        <f>FR39</f>
        <v>104.78700000000001</v>
      </c>
      <c r="DB69" s="6">
        <f>FW39</f>
        <v>89.531999999999996</v>
      </c>
      <c r="DC69" s="6">
        <f>GB39</f>
        <v>116.327</v>
      </c>
      <c r="DD69" s="6">
        <f>GG39</f>
        <v>118.214</v>
      </c>
      <c r="DE69" s="6">
        <f>GL39</f>
        <v>122.497</v>
      </c>
      <c r="DF69" s="6">
        <f>GQ39</f>
        <v>134.501</v>
      </c>
      <c r="DG69" s="6">
        <f>GV39</f>
        <v>135.48699999999999</v>
      </c>
      <c r="DH69" s="6">
        <f>HA39</f>
        <v>238.64599999999999</v>
      </c>
      <c r="DI69" s="6">
        <f>HF39</f>
        <v>195.02199999999999</v>
      </c>
      <c r="DJ69" s="6">
        <f>HK39</f>
        <v>188.04300000000001</v>
      </c>
      <c r="DK69" s="6">
        <f>HP39</f>
        <v>156.964</v>
      </c>
      <c r="DL69" s="6">
        <f>HU39</f>
        <v>156.55799999999999</v>
      </c>
    </row>
    <row r="70" spans="1:119" x14ac:dyDescent="0.35">
      <c r="A70" s="23"/>
      <c r="B70" s="12" t="s">
        <v>133</v>
      </c>
      <c r="CJ70" s="6">
        <f>CK53</f>
        <v>29.846</v>
      </c>
      <c r="CK70" s="6">
        <f>CP53</f>
        <v>39.44</v>
      </c>
      <c r="CL70" s="6">
        <f>CU53</f>
        <v>26.209</v>
      </c>
      <c r="CM70" s="6">
        <f>CZ53</f>
        <v>43.345999999999997</v>
      </c>
      <c r="CN70" s="6">
        <f>DE53</f>
        <v>27.079000000000001</v>
      </c>
      <c r="CO70" s="6">
        <f>DJ53</f>
        <v>48.131</v>
      </c>
      <c r="CP70" s="6">
        <f>DO53</f>
        <v>59.345999999999997</v>
      </c>
      <c r="CQ70" s="6">
        <f>DT53</f>
        <v>60.305999999999997</v>
      </c>
      <c r="CR70" s="6">
        <f>DY53</f>
        <v>32.853000000000002</v>
      </c>
      <c r="CS70" s="6">
        <f>ED53</f>
        <v>100.69199999999999</v>
      </c>
      <c r="CT70" s="6">
        <f>EI53</f>
        <v>98.572000000000003</v>
      </c>
      <c r="CU70" s="6">
        <f>EN53</f>
        <v>115.79</v>
      </c>
      <c r="CV70" s="6">
        <f>ES53</f>
        <v>55.223999999999997</v>
      </c>
      <c r="CW70" s="6">
        <f>EX53</f>
        <v>79.81</v>
      </c>
      <c r="CX70" s="6">
        <f>FC53</f>
        <v>88.356999999999999</v>
      </c>
      <c r="CY70" s="6">
        <f>FH53</f>
        <v>40.838999999999999</v>
      </c>
      <c r="CZ70" s="6">
        <f>FM53</f>
        <v>-32.643000000000001</v>
      </c>
      <c r="DA70" s="6">
        <f>FR53</f>
        <v>21.199000000000002</v>
      </c>
      <c r="DB70" s="6">
        <f>FW53</f>
        <v>24.814</v>
      </c>
      <c r="DC70" s="6">
        <f>GB53</f>
        <v>52.975999999999999</v>
      </c>
      <c r="DD70" s="6">
        <f>GG53</f>
        <v>56.798999999999999</v>
      </c>
      <c r="DE70" s="6">
        <f>GL53</f>
        <v>83.799000000000007</v>
      </c>
      <c r="DF70" s="6">
        <f>GQ53</f>
        <v>77.177000000000007</v>
      </c>
      <c r="DG70" s="6">
        <f>GV53</f>
        <v>66.497</v>
      </c>
      <c r="DH70" s="6">
        <f>HA53</f>
        <v>86.798000000000002</v>
      </c>
      <c r="DI70" s="6">
        <f>HF53</f>
        <v>92.570999999999998</v>
      </c>
      <c r="DJ70" s="6">
        <f>HK53</f>
        <v>87.617999999999995</v>
      </c>
      <c r="DK70" s="6">
        <f>HP53</f>
        <v>31.048999999999999</v>
      </c>
      <c r="DL70" s="6">
        <f>HU53</f>
        <v>0.248</v>
      </c>
    </row>
    <row r="72" spans="1:119" x14ac:dyDescent="0.35">
      <c r="A72" s="23" t="s">
        <v>322</v>
      </c>
      <c r="B72" s="12" t="s">
        <v>259</v>
      </c>
      <c r="CJ72" s="6">
        <f>CL7</f>
        <v>-36.801000000000002</v>
      </c>
      <c r="CK72" s="6">
        <f>CQ7</f>
        <v>-37.838999999999999</v>
      </c>
      <c r="CL72" s="6">
        <f>CV7</f>
        <v>-38.753</v>
      </c>
      <c r="CM72" s="6">
        <f>DA7</f>
        <v>-39.722999999999999</v>
      </c>
      <c r="CN72" s="6">
        <f>DF7</f>
        <v>-41.404000000000003</v>
      </c>
      <c r="CO72" s="6">
        <f>DK7</f>
        <v>-43.332000000000001</v>
      </c>
      <c r="CP72" s="6">
        <f>DP7</f>
        <v>-45.262</v>
      </c>
      <c r="CQ72" s="6">
        <f>DU7</f>
        <v>-47.459000000000003</v>
      </c>
      <c r="CR72" s="6">
        <f>DZ7</f>
        <v>-50.563000000000002</v>
      </c>
      <c r="CS72" s="6">
        <f>EE7</f>
        <v>-53.725000000000001</v>
      </c>
      <c r="CT72" s="6">
        <f>EJ7</f>
        <v>-57.561</v>
      </c>
      <c r="CU72" s="6">
        <f>EO7</f>
        <v>-61.478999999999999</v>
      </c>
      <c r="CV72" s="6">
        <f>ET7</f>
        <v>-65.843999999999994</v>
      </c>
      <c r="CW72" s="6">
        <f>EY7</f>
        <v>-65.453999999999994</v>
      </c>
      <c r="CX72" s="6">
        <f>FD7</f>
        <v>-67.435000000000002</v>
      </c>
      <c r="CY72" s="6">
        <f>FI7</f>
        <v>-69.453999999999994</v>
      </c>
      <c r="CZ72" s="6">
        <f>FN7</f>
        <v>-70.355999999999995</v>
      </c>
      <c r="DA72" s="6">
        <f>FS7</f>
        <v>-70.445999999999998</v>
      </c>
      <c r="DB72" s="6">
        <f>FX7</f>
        <v>-72.278000000000006</v>
      </c>
      <c r="DC72" s="6">
        <f>GC7</f>
        <v>-73.150999999999996</v>
      </c>
      <c r="DD72" s="6">
        <f>GH7</f>
        <v>-74.180999999999997</v>
      </c>
      <c r="DE72" s="6">
        <f>GM7</f>
        <v>-77.468000000000004</v>
      </c>
      <c r="DF72" s="6">
        <f>GR7</f>
        <v>-81.210999999999999</v>
      </c>
      <c r="DG72" s="6">
        <f>GW7</f>
        <v>-85.765000000000001</v>
      </c>
      <c r="DH72" s="6">
        <f>HB7</f>
        <v>-89.972999999999999</v>
      </c>
      <c r="DI72" s="6">
        <f>HG7</f>
        <v>-96.945999999999998</v>
      </c>
      <c r="DJ72" s="6">
        <f>HL7</f>
        <v>-106.42400000000001</v>
      </c>
      <c r="DK72" s="6">
        <f>HQ7</f>
        <v>-109.65</v>
      </c>
      <c r="DL72" s="6">
        <f>HV7</f>
        <v>-108.746</v>
      </c>
    </row>
    <row r="73" spans="1:119" x14ac:dyDescent="0.35">
      <c r="A73" s="23"/>
      <c r="B73" s="12" t="s">
        <v>112</v>
      </c>
      <c r="CJ73" s="6">
        <f>CL39</f>
        <v>0</v>
      </c>
      <c r="CK73" s="6">
        <f>CQ39</f>
        <v>0</v>
      </c>
      <c r="CL73" s="6">
        <f>CV39</f>
        <v>0</v>
      </c>
      <c r="CM73" s="6">
        <f>DA39</f>
        <v>0</v>
      </c>
      <c r="CN73" s="6">
        <f>DF39</f>
        <v>0</v>
      </c>
      <c r="CO73" s="6">
        <f>DK39</f>
        <v>0</v>
      </c>
      <c r="CP73" s="6">
        <f>DP39</f>
        <v>0</v>
      </c>
      <c r="CQ73" s="6">
        <f>DU39</f>
        <v>0</v>
      </c>
      <c r="CR73" s="6">
        <f>DZ39</f>
        <v>0</v>
      </c>
      <c r="CS73" s="6">
        <f>EE39</f>
        <v>0</v>
      </c>
      <c r="CT73" s="6">
        <f>EJ39</f>
        <v>0</v>
      </c>
      <c r="CU73" s="6">
        <f>EO39</f>
        <v>0</v>
      </c>
      <c r="CV73" s="6">
        <f>ET39</f>
        <v>0</v>
      </c>
      <c r="CW73" s="6">
        <f>EY39</f>
        <v>0</v>
      </c>
      <c r="CX73" s="6">
        <f>FD39</f>
        <v>0</v>
      </c>
      <c r="CY73" s="6">
        <f>FI39</f>
        <v>0</v>
      </c>
      <c r="CZ73" s="6">
        <f>FN39</f>
        <v>0</v>
      </c>
      <c r="DA73" s="6">
        <f>FS39</f>
        <v>0</v>
      </c>
      <c r="DB73" s="6">
        <f>FX39</f>
        <v>0</v>
      </c>
      <c r="DC73" s="6">
        <f>GC39</f>
        <v>0</v>
      </c>
      <c r="DD73" s="6">
        <f>GH39</f>
        <v>0</v>
      </c>
      <c r="DE73" s="6">
        <f>GM39</f>
        <v>0</v>
      </c>
      <c r="DF73" s="6">
        <f>GR39</f>
        <v>0</v>
      </c>
      <c r="DG73" s="6">
        <f>GW39</f>
        <v>0</v>
      </c>
      <c r="DH73" s="6">
        <f>HB39</f>
        <v>0</v>
      </c>
      <c r="DI73" s="6">
        <f>HG39</f>
        <v>0</v>
      </c>
      <c r="DJ73" s="6">
        <f>HL39</f>
        <v>0</v>
      </c>
      <c r="DK73" s="6">
        <f>HQ39</f>
        <v>0</v>
      </c>
      <c r="DL73" s="6">
        <f>HV39</f>
        <v>0</v>
      </c>
    </row>
    <row r="74" spans="1:119" x14ac:dyDescent="0.35">
      <c r="A74" s="23"/>
      <c r="B74" s="12" t="s">
        <v>133</v>
      </c>
      <c r="CJ74" s="6">
        <f>CL53</f>
        <v>0</v>
      </c>
      <c r="CK74" s="6">
        <f>CQ53</f>
        <v>0</v>
      </c>
      <c r="CL74" s="6">
        <f>CV53</f>
        <v>0</v>
      </c>
      <c r="CM74" s="6">
        <f>DA53</f>
        <v>0</v>
      </c>
      <c r="CN74" s="6">
        <f>DF53</f>
        <v>0</v>
      </c>
      <c r="CO74" s="6">
        <f>DK53</f>
        <v>0</v>
      </c>
      <c r="CP74" s="6">
        <f>DP53</f>
        <v>0</v>
      </c>
      <c r="CQ74" s="6">
        <f>DU53</f>
        <v>0</v>
      </c>
      <c r="CR74" s="6">
        <f>DZ53</f>
        <v>0</v>
      </c>
      <c r="CS74" s="6">
        <f>EE53</f>
        <v>0</v>
      </c>
      <c r="CT74" s="6">
        <f>EJ53</f>
        <v>0</v>
      </c>
      <c r="CU74" s="6">
        <f>EO53</f>
        <v>0</v>
      </c>
      <c r="CV74" s="6">
        <f>ET53</f>
        <v>0</v>
      </c>
      <c r="CW74" s="6">
        <f>EY53</f>
        <v>0</v>
      </c>
      <c r="CX74" s="6">
        <f>FD53</f>
        <v>0</v>
      </c>
      <c r="CY74" s="6">
        <f>FI53</f>
        <v>0</v>
      </c>
      <c r="CZ74" s="6">
        <f>FN53</f>
        <v>0</v>
      </c>
      <c r="DA74" s="6">
        <f>FS53</f>
        <v>0</v>
      </c>
      <c r="DB74" s="6">
        <f>FX53</f>
        <v>0</v>
      </c>
      <c r="DC74" s="6">
        <f>GC53</f>
        <v>0</v>
      </c>
      <c r="DD74" s="6">
        <f>GH53</f>
        <v>0</v>
      </c>
      <c r="DE74" s="6">
        <f>GM53</f>
        <v>0</v>
      </c>
      <c r="DF74" s="6">
        <f>GR53</f>
        <v>0</v>
      </c>
      <c r="DG74" s="6">
        <f>GW53</f>
        <v>0</v>
      </c>
      <c r="DH74" s="6">
        <f>HB53</f>
        <v>0</v>
      </c>
      <c r="DI74" s="6">
        <f>HG53</f>
        <v>0</v>
      </c>
      <c r="DJ74" s="6">
        <f>HL53</f>
        <v>0</v>
      </c>
      <c r="DK74" s="6">
        <f>HQ53</f>
        <v>0</v>
      </c>
      <c r="DL74" s="6">
        <f>HV53</f>
        <v>0</v>
      </c>
    </row>
    <row r="76" spans="1:119" x14ac:dyDescent="0.35">
      <c r="A76" s="23" t="s">
        <v>323</v>
      </c>
      <c r="B76" s="12" t="s">
        <v>259</v>
      </c>
      <c r="CJ76" s="6">
        <f>CM7</f>
        <v>18.331</v>
      </c>
      <c r="CK76" s="6">
        <f>CR7</f>
        <v>11.028</v>
      </c>
      <c r="CL76" s="6">
        <f>CW7</f>
        <v>94.180999999999997</v>
      </c>
      <c r="CM76" s="6">
        <f>DB7</f>
        <v>213.941</v>
      </c>
      <c r="CN76" s="6">
        <f>DG7</f>
        <v>226.749</v>
      </c>
      <c r="CO76" s="6">
        <f>DL7</f>
        <v>232.292</v>
      </c>
      <c r="CP76" s="6">
        <f>DQ7</f>
        <v>348.10199999999998</v>
      </c>
      <c r="CQ76" s="6">
        <f>DV7</f>
        <v>484.64699999999999</v>
      </c>
      <c r="CR76" s="6">
        <f>EA7</f>
        <v>646.31100000000004</v>
      </c>
      <c r="CS76" s="6">
        <f>EF7</f>
        <v>718.75</v>
      </c>
      <c r="CT76" s="6">
        <f>EK7</f>
        <v>535.71400000000006</v>
      </c>
      <c r="CU76" s="6">
        <f>EP7</f>
        <v>284.83199999999999</v>
      </c>
      <c r="CV76" s="6">
        <f>EU7</f>
        <v>-379.00700000000001</v>
      </c>
      <c r="CW76" s="6">
        <f>EZ7</f>
        <v>-68.760999999999996</v>
      </c>
      <c r="CX76" s="6">
        <f>FE7</f>
        <v>514.399</v>
      </c>
      <c r="CY76" s="6">
        <f>FJ7</f>
        <v>185.511</v>
      </c>
      <c r="CZ76" s="6">
        <f>FO7</f>
        <v>-143.00800000000001</v>
      </c>
      <c r="DA76" s="6">
        <f>FT7</f>
        <v>-146.94499999999999</v>
      </c>
      <c r="DB76" s="6">
        <f>FY7</f>
        <v>-160.488</v>
      </c>
      <c r="DC76" s="6">
        <f>GD7</f>
        <v>-17.823</v>
      </c>
      <c r="DD76" s="6">
        <f>GI7</f>
        <v>148.089</v>
      </c>
      <c r="DE76" s="6">
        <f>GN7</f>
        <v>225.227</v>
      </c>
      <c r="DF76" s="6">
        <f>GS7</f>
        <v>226.32499999999999</v>
      </c>
      <c r="DG76" s="6">
        <f>GX7</f>
        <v>282.59800000000001</v>
      </c>
      <c r="DH76" s="6">
        <f>HC7</f>
        <v>432.48099999999999</v>
      </c>
      <c r="DI76" s="6">
        <f>HH7</f>
        <v>558.70399999999995</v>
      </c>
      <c r="DJ76" s="6">
        <f>HM7</f>
        <v>346.93299999999999</v>
      </c>
      <c r="DK76" s="6">
        <f>HR7</f>
        <v>-425.358</v>
      </c>
      <c r="DL76" s="6">
        <f>HW7</f>
        <v>-183.90700000000001</v>
      </c>
      <c r="DN76" s="6"/>
      <c r="DO76" s="6"/>
    </row>
    <row r="77" spans="1:119" x14ac:dyDescent="0.35">
      <c r="A77" s="23"/>
      <c r="B77" s="12" t="s">
        <v>112</v>
      </c>
      <c r="CJ77" s="6">
        <f>CM39</f>
        <v>79.965999999999994</v>
      </c>
      <c r="CK77" s="6">
        <f>CR39</f>
        <v>61.223999999999997</v>
      </c>
      <c r="CL77" s="6">
        <f>CW39</f>
        <v>74.7</v>
      </c>
      <c r="CM77" s="6">
        <f>DB39</f>
        <v>207.09299999999999</v>
      </c>
      <c r="CN77" s="6">
        <f>DG39</f>
        <v>24.524999999999999</v>
      </c>
      <c r="CO77" s="6">
        <f>DL39</f>
        <v>-163.119</v>
      </c>
      <c r="CP77" s="6">
        <f>DQ39</f>
        <v>-107.809</v>
      </c>
      <c r="CQ77" s="6">
        <f>DV39</f>
        <v>77.700999999999993</v>
      </c>
      <c r="CR77" s="6">
        <f>EA39</f>
        <v>77.293000000000006</v>
      </c>
      <c r="CS77" s="6">
        <f>EF39</f>
        <v>109.06100000000001</v>
      </c>
      <c r="CT77" s="6">
        <f>EK39</f>
        <v>204.917</v>
      </c>
      <c r="CU77" s="6">
        <f>EP39</f>
        <v>32.057000000000002</v>
      </c>
      <c r="CV77" s="6">
        <f>EU39</f>
        <v>-380.15699999999998</v>
      </c>
      <c r="CW77" s="6">
        <f>EZ39</f>
        <v>122.718</v>
      </c>
      <c r="CX77" s="6">
        <f>FE39</f>
        <v>81.44</v>
      </c>
      <c r="CY77" s="6">
        <f>FJ39</f>
        <v>-74.808000000000007</v>
      </c>
      <c r="CZ77" s="6">
        <f>FO39</f>
        <v>130.37200000000001</v>
      </c>
      <c r="DA77" s="6">
        <f>FT39</f>
        <v>68.677999999999997</v>
      </c>
      <c r="DB77" s="6">
        <f>FY39</f>
        <v>65.756</v>
      </c>
      <c r="DC77" s="6">
        <f>GD39</f>
        <v>101.233</v>
      </c>
      <c r="DD77" s="6">
        <f>GI39</f>
        <v>54.531999999999996</v>
      </c>
      <c r="DE77" s="6">
        <f>GN39</f>
        <v>115.009</v>
      </c>
      <c r="DF77" s="6">
        <f>GS39</f>
        <v>-146.36600000000001</v>
      </c>
      <c r="DG77" s="6">
        <f>GX39</f>
        <v>368.28100000000001</v>
      </c>
      <c r="DH77" s="6">
        <f>HC39</f>
        <v>67.489000000000004</v>
      </c>
      <c r="DI77" s="6">
        <f>HH39</f>
        <v>315.363</v>
      </c>
      <c r="DJ77" s="6">
        <f>HM39</f>
        <v>-540.29200000000003</v>
      </c>
      <c r="DK77" s="6">
        <f>HR39</f>
        <v>265.89600000000002</v>
      </c>
      <c r="DL77" s="6">
        <f>HW39</f>
        <v>-2.9380000000000002</v>
      </c>
      <c r="DN77" s="6"/>
      <c r="DO77" s="6"/>
    </row>
    <row r="78" spans="1:119" x14ac:dyDescent="0.35">
      <c r="A78" s="23"/>
      <c r="B78" s="12" t="s">
        <v>133</v>
      </c>
      <c r="CJ78" s="6">
        <f>CM53</f>
        <v>-1</v>
      </c>
      <c r="CK78" s="6">
        <f>CR53</f>
        <v>-1.9390000000000001</v>
      </c>
      <c r="CL78" s="6">
        <f>CW53</f>
        <v>-2.8849999999999998</v>
      </c>
      <c r="CM78" s="6">
        <f>DB53</f>
        <v>-0.36599999999999999</v>
      </c>
      <c r="CN78" s="6">
        <f>DG53</f>
        <v>0.23599999999999999</v>
      </c>
      <c r="CO78" s="6">
        <f>DL53</f>
        <v>-0.58599999999999997</v>
      </c>
      <c r="CP78" s="6">
        <f>DQ53</f>
        <v>-2.8820000000000001</v>
      </c>
      <c r="CQ78" s="6">
        <f>DV53</f>
        <v>-1.1319999999999999</v>
      </c>
      <c r="CR78" s="6">
        <f>EA53</f>
        <v>-1.2</v>
      </c>
      <c r="CS78" s="6">
        <f>EF53</f>
        <v>8.5999999999999993E-2</v>
      </c>
      <c r="CT78" s="6">
        <f>EK53</f>
        <v>-0.70699999999999996</v>
      </c>
      <c r="CU78" s="6">
        <f>EP53</f>
        <v>-0.63</v>
      </c>
      <c r="CV78" s="6">
        <f>EU53</f>
        <v>1.2310000000000001</v>
      </c>
      <c r="CW78" s="6">
        <f>EZ53</f>
        <v>0</v>
      </c>
      <c r="CX78" s="6">
        <f>FE53</f>
        <v>0</v>
      </c>
      <c r="CY78" s="6">
        <f>FJ53</f>
        <v>0</v>
      </c>
      <c r="CZ78" s="6">
        <f>FO53</f>
        <v>0.98099999999999998</v>
      </c>
      <c r="DA78" s="6">
        <f>FT53</f>
        <v>-0.877</v>
      </c>
      <c r="DB78" s="6">
        <f>FY53</f>
        <v>1.5880000000000001</v>
      </c>
      <c r="DC78" s="6">
        <f>GD53</f>
        <v>2.4769999999999999</v>
      </c>
      <c r="DD78" s="6">
        <f>GI53</f>
        <v>0.20200000000000001</v>
      </c>
      <c r="DE78" s="6">
        <f>GN53</f>
        <v>-2.395</v>
      </c>
      <c r="DF78" s="6">
        <f>GS53</f>
        <v>0.88800000000000001</v>
      </c>
      <c r="DG78" s="6">
        <f>GX53</f>
        <v>0.68200000000000005</v>
      </c>
      <c r="DH78" s="6">
        <f>HC53</f>
        <v>-1.056</v>
      </c>
      <c r="DI78" s="6">
        <f>HH53</f>
        <v>1.288</v>
      </c>
      <c r="DJ78" s="6">
        <f>HM53</f>
        <v>0.91800000000000004</v>
      </c>
      <c r="DK78" s="6">
        <f>HR53</f>
        <v>-8.0000000000000002E-3</v>
      </c>
      <c r="DL78" s="6">
        <f>HW53</f>
        <v>0.438</v>
      </c>
      <c r="DN78" s="6"/>
      <c r="DO78" s="6"/>
    </row>
    <row r="81" spans="1:116" s="8" customFormat="1" x14ac:dyDescent="0.35">
      <c r="B81" s="8" t="s">
        <v>251</v>
      </c>
      <c r="C81" s="18">
        <v>223.68100000000001</v>
      </c>
      <c r="D81" s="18">
        <v>249.84100000000001</v>
      </c>
      <c r="E81" s="18">
        <v>283.779</v>
      </c>
      <c r="F81" s="18">
        <v>327.33</v>
      </c>
      <c r="G81" s="18">
        <v>373.16500000000002</v>
      </c>
      <c r="H81" s="18">
        <v>408.99599999999998</v>
      </c>
      <c r="I81" s="18">
        <v>437.22800000000001</v>
      </c>
      <c r="J81" s="18">
        <v>468.87400000000002</v>
      </c>
      <c r="K81" s="18">
        <v>496.60700000000003</v>
      </c>
      <c r="L81" s="18">
        <v>520.65</v>
      </c>
      <c r="M81" s="18">
        <v>553.09</v>
      </c>
      <c r="N81" s="18">
        <v>593.35299999999995</v>
      </c>
      <c r="O81" s="18">
        <v>634.505</v>
      </c>
      <c r="P81" s="18">
        <v>660.27499999999998</v>
      </c>
      <c r="Q81" s="18">
        <v>693.11800000000005</v>
      </c>
      <c r="R81" s="18">
        <v>707.97400000000005</v>
      </c>
      <c r="S81" s="18">
        <v>718.58399999999995</v>
      </c>
      <c r="T81" s="18">
        <v>743.11</v>
      </c>
      <c r="U81" s="18">
        <v>762.50900000000001</v>
      </c>
      <c r="V81" s="18">
        <v>783.67899999999997</v>
      </c>
      <c r="W81" s="18">
        <v>809.52099999999996</v>
      </c>
      <c r="X81" s="18">
        <v>831.46799999999996</v>
      </c>
      <c r="Y81" s="18">
        <v>881.74400000000003</v>
      </c>
      <c r="Z81" s="18">
        <v>927.05200000000002</v>
      </c>
      <c r="AA81" s="18">
        <v>966.18799999999999</v>
      </c>
      <c r="AB81" s="18">
        <v>992.89400000000001</v>
      </c>
      <c r="AC81" s="18">
        <v>1035.68</v>
      </c>
      <c r="AD81" s="18">
        <v>1071.1479999999999</v>
      </c>
      <c r="AE81" s="18">
        <v>1128.433</v>
      </c>
      <c r="AF81" s="18">
        <v>1186.758</v>
      </c>
      <c r="AG81" s="18">
        <v>1225.5239999999999</v>
      </c>
      <c r="AH81" s="18">
        <v>1227.942</v>
      </c>
      <c r="AI81" s="18">
        <v>1260.979</v>
      </c>
      <c r="AJ81" s="18">
        <v>1288.2249999999999</v>
      </c>
      <c r="AK81" s="18">
        <v>1301.809</v>
      </c>
      <c r="AL81" s="18">
        <v>1296.566</v>
      </c>
      <c r="AM81" s="18">
        <v>1315.37</v>
      </c>
      <c r="AN81" s="18">
        <v>1330.905</v>
      </c>
      <c r="AO81" s="18">
        <v>1353.53</v>
      </c>
      <c r="AP81" s="18">
        <v>1387.38</v>
      </c>
      <c r="AQ81" s="18">
        <v>1427.117</v>
      </c>
      <c r="AR81" s="18">
        <v>1475.704</v>
      </c>
      <c r="AS81" s="18">
        <v>1490.3209999999999</v>
      </c>
      <c r="AT81" s="18">
        <v>1562.529</v>
      </c>
      <c r="AU81" s="18">
        <v>1646.1030000000001</v>
      </c>
      <c r="AV81" s="18">
        <v>1775.835</v>
      </c>
      <c r="AW81" s="18">
        <v>1861.088</v>
      </c>
      <c r="CJ81" s="18">
        <v>762.50900000000001</v>
      </c>
      <c r="CK81" s="18">
        <v>783.67899999999997</v>
      </c>
      <c r="CL81" s="18">
        <v>809.52099999999996</v>
      </c>
      <c r="CM81" s="18">
        <v>831.46799999999996</v>
      </c>
      <c r="CN81" s="18">
        <v>881.74400000000003</v>
      </c>
      <c r="CO81" s="18">
        <v>927.05200000000002</v>
      </c>
      <c r="CP81" s="18">
        <v>966.18799999999999</v>
      </c>
      <c r="CQ81" s="18">
        <v>992.89400000000001</v>
      </c>
      <c r="CR81" s="18">
        <v>1035.68</v>
      </c>
      <c r="CS81" s="18">
        <v>1071.1479999999999</v>
      </c>
      <c r="CT81" s="18">
        <v>1128.433</v>
      </c>
      <c r="CU81" s="18">
        <v>1186.758</v>
      </c>
      <c r="CV81" s="18">
        <v>1225.5239999999999</v>
      </c>
      <c r="CW81" s="18">
        <v>1227.942</v>
      </c>
      <c r="CX81" s="18">
        <v>1260.979</v>
      </c>
      <c r="CY81" s="18">
        <v>1288.2249999999999</v>
      </c>
      <c r="CZ81" s="18">
        <v>1301.809</v>
      </c>
      <c r="DA81" s="18">
        <v>1296.566</v>
      </c>
      <c r="DB81" s="18">
        <v>1315.37</v>
      </c>
      <c r="DC81" s="18">
        <v>1330.905</v>
      </c>
      <c r="DD81" s="18">
        <v>1353.53</v>
      </c>
      <c r="DE81" s="18">
        <v>1387.38</v>
      </c>
      <c r="DF81" s="18">
        <v>1427.117</v>
      </c>
      <c r="DG81" s="18">
        <v>1475.704</v>
      </c>
      <c r="DH81" s="18">
        <v>1490.3209999999999</v>
      </c>
      <c r="DI81" s="18">
        <v>1562.529</v>
      </c>
      <c r="DJ81" s="18">
        <v>1646.1030000000001</v>
      </c>
      <c r="DK81" s="18">
        <v>1775.835</v>
      </c>
      <c r="DL81" s="18">
        <v>1861.088</v>
      </c>
    </row>
    <row r="82" spans="1:116" x14ac:dyDescent="0.35">
      <c r="B82" s="16" t="s">
        <v>324</v>
      </c>
      <c r="CJ82" s="15">
        <f>Niveau!T73</f>
        <v>3.413101321487825</v>
      </c>
      <c r="CK82" s="15">
        <f>(CK81-CJ81)/CJ81*100</f>
        <v>2.7763606724641883</v>
      </c>
      <c r="CL82" s="15">
        <f t="shared" ref="CL82:DL82" si="1">(CL81-CK81)/CK81*100</f>
        <v>3.2975236034141515</v>
      </c>
      <c r="CM82" s="15">
        <f t="shared" si="1"/>
        <v>2.7111094091444206</v>
      </c>
      <c r="CN82" s="15">
        <f t="shared" si="1"/>
        <v>6.046654832176352</v>
      </c>
      <c r="CO82" s="15">
        <f t="shared" si="1"/>
        <v>5.1384528842838728</v>
      </c>
      <c r="CP82" s="15">
        <f t="shared" si="1"/>
        <v>4.2215539149907411</v>
      </c>
      <c r="CQ82" s="15">
        <f t="shared" si="1"/>
        <v>2.7640583406128014</v>
      </c>
      <c r="CR82" s="15">
        <f t="shared" si="1"/>
        <v>4.3092213267478758</v>
      </c>
      <c r="CS82" s="15">
        <f t="shared" si="1"/>
        <v>3.424609918121412</v>
      </c>
      <c r="CT82" s="15">
        <f t="shared" si="1"/>
        <v>5.3480004630545999</v>
      </c>
      <c r="CU82" s="15">
        <f t="shared" si="1"/>
        <v>5.1686719548258555</v>
      </c>
      <c r="CV82" s="15">
        <f t="shared" si="1"/>
        <v>3.2665463388491882</v>
      </c>
      <c r="CW82" s="15">
        <f t="shared" si="1"/>
        <v>0.19730335758419421</v>
      </c>
      <c r="CX82" s="15">
        <f t="shared" si="1"/>
        <v>2.6904365189886845</v>
      </c>
      <c r="CY82" s="15">
        <f t="shared" si="1"/>
        <v>2.1607021211296833</v>
      </c>
      <c r="CZ82" s="15">
        <f t="shared" si="1"/>
        <v>1.0544741795881978</v>
      </c>
      <c r="DA82" s="15">
        <f t="shared" si="1"/>
        <v>-0.4027472540134488</v>
      </c>
      <c r="DB82" s="15">
        <f t="shared" si="1"/>
        <v>1.4502925419916812</v>
      </c>
      <c r="DC82" s="15">
        <f t="shared" si="1"/>
        <v>1.1810365144408099</v>
      </c>
      <c r="DD82" s="15">
        <f t="shared" si="1"/>
        <v>1.6999710723154544</v>
      </c>
      <c r="DE82" s="15">
        <f t="shared" si="1"/>
        <v>2.500868100448467</v>
      </c>
      <c r="DF82" s="15">
        <f t="shared" si="1"/>
        <v>2.8641756404157368</v>
      </c>
      <c r="DG82" s="15">
        <f t="shared" si="1"/>
        <v>3.4045561786454783</v>
      </c>
      <c r="DH82" s="15">
        <f t="shared" si="1"/>
        <v>0.9905102920368829</v>
      </c>
      <c r="DI82" s="15">
        <f t="shared" si="1"/>
        <v>4.8451306799005103</v>
      </c>
      <c r="DJ82" s="15">
        <f t="shared" si="1"/>
        <v>5.3486367293023083</v>
      </c>
      <c r="DK82" s="15">
        <f t="shared" si="1"/>
        <v>7.8811593199210481</v>
      </c>
      <c r="DL82" s="15">
        <f t="shared" si="1"/>
        <v>4.8007275450703428</v>
      </c>
    </row>
    <row r="83" spans="1:116" x14ac:dyDescent="0.35">
      <c r="B83" t="s">
        <v>332</v>
      </c>
      <c r="CJ83" s="10">
        <f>CJ82-CJ84</f>
        <v>1.9301013214878249</v>
      </c>
      <c r="CK83" s="10">
        <f t="shared" ref="CK83:DL83" si="2">CK82-CK84</f>
        <v>2.0123606724641885</v>
      </c>
      <c r="CL83" s="10">
        <f t="shared" si="2"/>
        <v>3.1645236034141515</v>
      </c>
      <c r="CM83" s="10">
        <f t="shared" si="2"/>
        <v>3.1861094091444206</v>
      </c>
      <c r="CN83" s="10">
        <f t="shared" si="2"/>
        <v>3.970654832176352</v>
      </c>
      <c r="CO83" s="10">
        <f t="shared" si="2"/>
        <v>3.378452884283873</v>
      </c>
      <c r="CP83" s="10">
        <f t="shared" si="2"/>
        <v>3.2375539149907411</v>
      </c>
      <c r="CQ83" s="10">
        <f t="shared" si="2"/>
        <v>1.2340583406128014</v>
      </c>
      <c r="CR83" s="10">
        <f t="shared" si="2"/>
        <v>2.2222213267478756</v>
      </c>
      <c r="CS83" s="10">
        <f t="shared" si="2"/>
        <v>1.632609918121412</v>
      </c>
      <c r="CT83" s="10">
        <f t="shared" si="2"/>
        <v>3.2720004630545998</v>
      </c>
      <c r="CU83" s="10">
        <f t="shared" si="2"/>
        <v>3.2786719548258558</v>
      </c>
      <c r="CV83" s="10">
        <f t="shared" si="2"/>
        <v>0.42954633884918803</v>
      </c>
      <c r="CW83" s="10">
        <f t="shared" si="2"/>
        <v>1.8423033575841943</v>
      </c>
      <c r="CX83" s="10">
        <f t="shared" si="2"/>
        <v>1.4724365189886846</v>
      </c>
      <c r="CY83" s="10">
        <f t="shared" si="2"/>
        <v>0.35770212112968336</v>
      </c>
      <c r="CZ83" s="10">
        <f t="shared" si="2"/>
        <v>-0.25152582041180227</v>
      </c>
      <c r="DA83" s="10">
        <f t="shared" si="2"/>
        <v>-0.99274725401344877</v>
      </c>
      <c r="DB83" s="10">
        <f t="shared" si="2"/>
        <v>1.3282925419916811</v>
      </c>
      <c r="DC83" s="10">
        <f t="shared" si="2"/>
        <v>0.95103651444080994</v>
      </c>
      <c r="DD83" s="10">
        <f t="shared" si="2"/>
        <v>1.5019710723154545</v>
      </c>
      <c r="DE83" s="10">
        <f t="shared" si="2"/>
        <v>1.7338681004484671</v>
      </c>
      <c r="DF83" s="10">
        <f t="shared" si="2"/>
        <v>0.93617564041573686</v>
      </c>
      <c r="DG83" s="10">
        <f t="shared" si="2"/>
        <v>2.6135561786454784</v>
      </c>
      <c r="DH83" s="10">
        <f t="shared" si="2"/>
        <v>0.23351029203688289</v>
      </c>
      <c r="DI83" s="10">
        <f t="shared" si="2"/>
        <v>3.48513067990051</v>
      </c>
      <c r="DJ83" s="10">
        <f t="shared" si="2"/>
        <v>0.42363672930230845</v>
      </c>
      <c r="DK83" s="10">
        <f t="shared" si="2"/>
        <v>0.86515931992104811</v>
      </c>
      <c r="DL83" s="10">
        <f t="shared" si="2"/>
        <v>2.613727545070343</v>
      </c>
    </row>
    <row r="84" spans="1:116" x14ac:dyDescent="0.35">
      <c r="B84" t="s">
        <v>325</v>
      </c>
      <c r="CJ84" s="17">
        <v>1.4830000000000001</v>
      </c>
      <c r="CK84" s="17">
        <v>0.76400000000000001</v>
      </c>
      <c r="CL84" s="17">
        <v>0.13300000000000001</v>
      </c>
      <c r="CM84" s="17">
        <v>-0.47499999999999998</v>
      </c>
      <c r="CN84" s="17">
        <v>2.0760000000000001</v>
      </c>
      <c r="CO84" s="17">
        <v>1.76</v>
      </c>
      <c r="CP84" s="17">
        <v>0.98399999999999999</v>
      </c>
      <c r="CQ84" s="17">
        <v>1.53</v>
      </c>
      <c r="CR84" s="17">
        <v>2.0870000000000002</v>
      </c>
      <c r="CS84" s="17">
        <v>1.792</v>
      </c>
      <c r="CT84" s="17">
        <v>2.0760000000000001</v>
      </c>
      <c r="CU84" s="17">
        <v>1.89</v>
      </c>
      <c r="CV84" s="17">
        <v>2.8370000000000002</v>
      </c>
      <c r="CW84" s="17">
        <v>-1.645</v>
      </c>
      <c r="CX84" s="17">
        <v>1.218</v>
      </c>
      <c r="CY84" s="17">
        <v>1.8029999999999999</v>
      </c>
      <c r="CZ84" s="17">
        <v>1.306</v>
      </c>
      <c r="DA84" s="17">
        <v>0.59</v>
      </c>
      <c r="DB84" s="17">
        <v>0.122</v>
      </c>
      <c r="DC84" s="17">
        <v>0.23</v>
      </c>
      <c r="DD84" s="17">
        <v>0.19800000000000001</v>
      </c>
      <c r="DE84" s="17">
        <v>0.76700000000000002</v>
      </c>
      <c r="DF84" s="17">
        <v>1.9279999999999999</v>
      </c>
      <c r="DG84" s="17">
        <v>0.79100000000000004</v>
      </c>
      <c r="DH84" s="17">
        <v>0.75700000000000001</v>
      </c>
      <c r="DI84" s="17">
        <v>1.36</v>
      </c>
      <c r="DJ84" s="17">
        <v>4.9249999999999998</v>
      </c>
      <c r="DK84" s="17">
        <v>7.016</v>
      </c>
      <c r="DL84" s="17">
        <v>2.1869999999999998</v>
      </c>
    </row>
    <row r="86" spans="1:116" x14ac:dyDescent="0.35">
      <c r="A86" s="23" t="s">
        <v>326</v>
      </c>
      <c r="B86" s="12" t="s">
        <v>248</v>
      </c>
      <c r="CJ86" s="20">
        <f>Niveau!T65</f>
        <v>1665.0860000000002</v>
      </c>
      <c r="CK86" s="20">
        <f>Niveau!U65</f>
        <v>1688.069</v>
      </c>
      <c r="CL86" s="20">
        <f>Niveau!V65</f>
        <v>1693.8459999999998</v>
      </c>
      <c r="CM86" s="20">
        <f>Niveau!W65</f>
        <v>1801.8609999999999</v>
      </c>
      <c r="CN86" s="20">
        <f>Niveau!X65</f>
        <v>2010.6080000000002</v>
      </c>
      <c r="CO86" s="20">
        <f>Niveau!Y65</f>
        <v>2261.125</v>
      </c>
      <c r="CP86" s="20">
        <f>Niveau!Z65</f>
        <v>2504.3530000000001</v>
      </c>
      <c r="CQ86" s="20">
        <f>Niveau!AA65</f>
        <v>2853.355</v>
      </c>
      <c r="CR86" s="20">
        <f>Niveau!AB65</f>
        <v>3347.4249999999997</v>
      </c>
      <c r="CS86" s="20">
        <f>Niveau!AC65</f>
        <v>4038.3130000000001</v>
      </c>
      <c r="CT86" s="20">
        <f>Niveau!AD65</f>
        <v>4744.25</v>
      </c>
      <c r="CU86" s="20">
        <f>Niveau!AE65</f>
        <v>5268.25</v>
      </c>
      <c r="CV86" s="20">
        <f>Niveau!AF65</f>
        <v>5597.3289999999997</v>
      </c>
      <c r="CW86" s="20">
        <f>Niveau!AG65</f>
        <v>5262.6149999999998</v>
      </c>
      <c r="CX86" s="20">
        <f>Niveau!AH65</f>
        <v>5127.9570000000003</v>
      </c>
      <c r="CY86" s="20">
        <f>Niveau!AI65</f>
        <v>5608.5550000000003</v>
      </c>
      <c r="CZ86" s="20">
        <f>Niveau!AJ65</f>
        <v>5835.7870000000003</v>
      </c>
      <c r="DA86" s="20">
        <f>Niveau!AK65</f>
        <v>5811.0740000000005</v>
      </c>
      <c r="DB86" s="20">
        <f>Niveau!AL65</f>
        <v>5740.1639999999998</v>
      </c>
      <c r="DC86" s="20">
        <f>Niveau!AM65</f>
        <v>5627.4369999999999</v>
      </c>
      <c r="DD86" s="20">
        <f>Niveau!AN65</f>
        <v>5637.5870000000004</v>
      </c>
      <c r="DE86" s="20">
        <f>Niveau!AO65</f>
        <v>5820.2240000000002</v>
      </c>
      <c r="DF86" s="20">
        <f>Niveau!AP65</f>
        <v>6066.5820000000003</v>
      </c>
      <c r="DG86" s="20">
        <f>Niveau!AQ65</f>
        <v>6325.7690000000002</v>
      </c>
      <c r="DH86" s="20">
        <f>Niveau!AR65</f>
        <v>6678.7279999999992</v>
      </c>
      <c r="DI86" s="20">
        <f>Niveau!AS65</f>
        <v>7149.2209999999995</v>
      </c>
      <c r="DJ86" s="20">
        <f>Niveau!AT65</f>
        <v>7768.0139999999992</v>
      </c>
      <c r="DK86" s="20">
        <f>Niveau!AU65</f>
        <v>8176.3459999999995</v>
      </c>
      <c r="DL86" s="20">
        <f>Niveau!AV65</f>
        <v>7845.1080000000002</v>
      </c>
    </row>
    <row r="87" spans="1:116" x14ac:dyDescent="0.35">
      <c r="A87" s="23"/>
      <c r="B87" t="s">
        <v>249</v>
      </c>
      <c r="CJ87" s="20">
        <f>Niveau!T66</f>
        <v>1898.5909999999999</v>
      </c>
      <c r="CK87" s="20">
        <f>Niveau!U66</f>
        <v>2035.09</v>
      </c>
      <c r="CL87" s="20">
        <f>Niveau!V66</f>
        <v>2180.1329999999998</v>
      </c>
      <c r="CM87" s="20">
        <f>Niveau!W66</f>
        <v>2323.3319999999999</v>
      </c>
      <c r="CN87" s="20">
        <f>Niveau!X66</f>
        <v>2620.0630000000001</v>
      </c>
      <c r="CO87" s="20">
        <f>Niveau!Y66</f>
        <v>2710.4459999999999</v>
      </c>
      <c r="CP87" s="20">
        <f>Niveau!Z66</f>
        <v>2643.19</v>
      </c>
      <c r="CQ87" s="20">
        <f>Niveau!AA66</f>
        <v>2658.6619999999998</v>
      </c>
      <c r="CR87" s="20">
        <f>Niveau!AB66</f>
        <v>2841.549</v>
      </c>
      <c r="CS87" s="20">
        <f>Niveau!AC66</f>
        <v>3006.1529999999998</v>
      </c>
      <c r="CT87" s="20">
        <f>Niveau!AD66</f>
        <v>3241.6889999999999</v>
      </c>
      <c r="CU87" s="20">
        <f>Niveau!AE66</f>
        <v>3612.9110000000001</v>
      </c>
      <c r="CV87" s="20">
        <f>Niveau!AF66</f>
        <v>3819.0320000000002</v>
      </c>
      <c r="CW87" s="20">
        <f>Niveau!AG66</f>
        <v>3544.7669999999998</v>
      </c>
      <c r="CX87" s="20">
        <f>Niveau!AH66</f>
        <v>3816.7269999999999</v>
      </c>
      <c r="CY87" s="20">
        <f>Niveau!AI66</f>
        <v>4077.8629999999998</v>
      </c>
      <c r="CZ87" s="20">
        <f>Niveau!AJ66</f>
        <v>4117.6970000000001</v>
      </c>
      <c r="DA87" s="20">
        <f>Niveau!AK66</f>
        <v>4278.9380000000001</v>
      </c>
      <c r="DB87" s="20">
        <f>Niveau!AL66</f>
        <v>4463.7659999999996</v>
      </c>
      <c r="DC87" s="20">
        <f>Niveau!AM66</f>
        <v>4663.6049999999996</v>
      </c>
      <c r="DD87" s="20">
        <f>Niveau!AN66</f>
        <v>4888.71</v>
      </c>
      <c r="DE87" s="20">
        <f>Niveau!AO66</f>
        <v>5228.665</v>
      </c>
      <c r="DF87" s="20">
        <f>Niveau!AP66</f>
        <v>5469.4279999999999</v>
      </c>
      <c r="DG87" s="20">
        <f>Niveau!AQ66</f>
        <v>5428.4459999999999</v>
      </c>
      <c r="DH87" s="20">
        <f>Niveau!AR66</f>
        <v>5926.6980000000003</v>
      </c>
      <c r="DI87" s="20">
        <f>Niveau!AS66</f>
        <v>6223.3519999999999</v>
      </c>
      <c r="DJ87" s="20">
        <f>Niveau!AT66</f>
        <v>6728.7110000000002</v>
      </c>
      <c r="DK87" s="20">
        <f>Niveau!AU66</f>
        <v>6393.79</v>
      </c>
      <c r="DL87" s="20">
        <f>Niveau!AV66</f>
        <v>6806.9040000000005</v>
      </c>
    </row>
    <row r="88" spans="1:116" x14ac:dyDescent="0.35">
      <c r="A88" s="19"/>
    </row>
    <row r="89" spans="1:116" x14ac:dyDescent="0.35">
      <c r="A89" s="23" t="s">
        <v>327</v>
      </c>
      <c r="B89" s="12" t="s">
        <v>259</v>
      </c>
      <c r="CJ89" s="6">
        <f>CJ68-CJ70</f>
        <v>34.100999999999999</v>
      </c>
      <c r="CK89" s="6">
        <f t="shared" ref="CK89:DL89" si="3">CK68-CK70</f>
        <v>26.698999999999998</v>
      </c>
      <c r="CL89" s="6">
        <f t="shared" si="3"/>
        <v>44.518999999999991</v>
      </c>
      <c r="CM89" s="6">
        <f t="shared" si="3"/>
        <v>33.164999999999999</v>
      </c>
      <c r="CN89" s="6">
        <f t="shared" si="3"/>
        <v>51.485999999999997</v>
      </c>
      <c r="CO89" s="6">
        <f t="shared" si="3"/>
        <v>34.709000000000003</v>
      </c>
      <c r="CP89" s="6">
        <f t="shared" si="3"/>
        <v>26.994000000000007</v>
      </c>
      <c r="CQ89" s="6">
        <f t="shared" si="3"/>
        <v>30.656000000000006</v>
      </c>
      <c r="CR89" s="6">
        <f t="shared" si="3"/>
        <v>68.186000000000007</v>
      </c>
      <c r="CS89" s="6">
        <f t="shared" si="3"/>
        <v>4.4040000000000106</v>
      </c>
      <c r="CT89" s="6">
        <f t="shared" si="3"/>
        <v>17.311999999999998</v>
      </c>
      <c r="CU89" s="6">
        <f t="shared" si="3"/>
        <v>7.8719999999999999</v>
      </c>
      <c r="CV89" s="6">
        <f t="shared" si="3"/>
        <v>71.701999999999998</v>
      </c>
      <c r="CW89" s="6">
        <f t="shared" si="3"/>
        <v>28.619</v>
      </c>
      <c r="CX89" s="6">
        <f t="shared" si="3"/>
        <v>24.269000000000005</v>
      </c>
      <c r="CY89" s="6">
        <f t="shared" si="3"/>
        <v>76.888000000000005</v>
      </c>
      <c r="CZ89" s="6">
        <f t="shared" si="3"/>
        <v>149.20699999999999</v>
      </c>
      <c r="DA89" s="6">
        <f t="shared" si="3"/>
        <v>95.484999999999999</v>
      </c>
      <c r="DB89" s="6">
        <f t="shared" si="3"/>
        <v>91.026999999999987</v>
      </c>
      <c r="DC89" s="6">
        <f t="shared" si="3"/>
        <v>63.135000000000005</v>
      </c>
      <c r="DD89" s="6">
        <f t="shared" si="3"/>
        <v>63.315999999999995</v>
      </c>
      <c r="DE89" s="6">
        <f t="shared" si="3"/>
        <v>45.823000000000008</v>
      </c>
      <c r="DF89" s="6">
        <f t="shared" si="3"/>
        <v>58.897999999999982</v>
      </c>
      <c r="DG89" s="6">
        <f t="shared" si="3"/>
        <v>76.022000000000006</v>
      </c>
      <c r="DH89" s="6">
        <f t="shared" si="3"/>
        <v>50.13900000000001</v>
      </c>
      <c r="DI89" s="6">
        <f t="shared" si="3"/>
        <v>71.028999999999996</v>
      </c>
      <c r="DJ89" s="6">
        <f t="shared" si="3"/>
        <v>83.260999999999996</v>
      </c>
      <c r="DK89" s="6">
        <f t="shared" si="3"/>
        <v>129.291</v>
      </c>
      <c r="DL89" s="6">
        <f t="shared" si="3"/>
        <v>150.44200000000001</v>
      </c>
    </row>
    <row r="90" spans="1:116" x14ac:dyDescent="0.35">
      <c r="A90" s="23"/>
      <c r="B90" s="12" t="s">
        <v>112</v>
      </c>
      <c r="CJ90" s="6">
        <f>CJ69</f>
        <v>65.046000000000006</v>
      </c>
      <c r="CK90" s="6">
        <f t="shared" ref="CK90:DL90" si="4">CK69</f>
        <v>79.167000000000002</v>
      </c>
      <c r="CL90" s="6">
        <f t="shared" si="4"/>
        <v>59.948999999999998</v>
      </c>
      <c r="CM90" s="6">
        <f t="shared" si="4"/>
        <v>83.03</v>
      </c>
      <c r="CN90" s="6">
        <f t="shared" si="4"/>
        <v>68.242999999999995</v>
      </c>
      <c r="CO90" s="6">
        <f t="shared" si="4"/>
        <v>101.61799999999999</v>
      </c>
      <c r="CP90" s="6">
        <f t="shared" si="4"/>
        <v>106.94799999999999</v>
      </c>
      <c r="CQ90" s="6">
        <f t="shared" si="4"/>
        <v>114.434</v>
      </c>
      <c r="CR90" s="6">
        <f t="shared" si="4"/>
        <v>82.075000000000003</v>
      </c>
      <c r="CS90" s="6">
        <f t="shared" si="4"/>
        <v>129.797</v>
      </c>
      <c r="CT90" s="6">
        <f t="shared" si="4"/>
        <v>140.97399999999999</v>
      </c>
      <c r="CU90" s="6">
        <f t="shared" si="4"/>
        <v>155.268</v>
      </c>
      <c r="CV90" s="6">
        <f t="shared" si="4"/>
        <v>117.321</v>
      </c>
      <c r="CW90" s="6">
        <f t="shared" si="4"/>
        <v>152.42400000000001</v>
      </c>
      <c r="CX90" s="6">
        <f t="shared" si="4"/>
        <v>172.291</v>
      </c>
      <c r="CY90" s="6">
        <f t="shared" si="4"/>
        <v>106.569</v>
      </c>
      <c r="CZ90" s="6">
        <f t="shared" si="4"/>
        <v>29.192</v>
      </c>
      <c r="DA90" s="6">
        <f t="shared" si="4"/>
        <v>104.78700000000001</v>
      </c>
      <c r="DB90" s="6">
        <f t="shared" si="4"/>
        <v>89.531999999999996</v>
      </c>
      <c r="DC90" s="6">
        <f t="shared" si="4"/>
        <v>116.327</v>
      </c>
      <c r="DD90" s="6">
        <f t="shared" si="4"/>
        <v>118.214</v>
      </c>
      <c r="DE90" s="6">
        <f t="shared" si="4"/>
        <v>122.497</v>
      </c>
      <c r="DF90" s="6">
        <f t="shared" si="4"/>
        <v>134.501</v>
      </c>
      <c r="DG90" s="6">
        <f t="shared" si="4"/>
        <v>135.48699999999999</v>
      </c>
      <c r="DH90" s="6">
        <f t="shared" si="4"/>
        <v>238.64599999999999</v>
      </c>
      <c r="DI90" s="6">
        <f t="shared" si="4"/>
        <v>195.02199999999999</v>
      </c>
      <c r="DJ90" s="6">
        <f t="shared" si="4"/>
        <v>188.04300000000001</v>
      </c>
      <c r="DK90" s="6">
        <f t="shared" si="4"/>
        <v>156.964</v>
      </c>
      <c r="DL90" s="6">
        <f t="shared" si="4"/>
        <v>156.55799999999999</v>
      </c>
    </row>
    <row r="92" spans="1:116" x14ac:dyDescent="0.35">
      <c r="A92" s="13" t="s">
        <v>322</v>
      </c>
      <c r="B92" s="12" t="s">
        <v>259</v>
      </c>
      <c r="CJ92" s="10">
        <f>CJ72/Niveau!T6*100</f>
        <v>-1.6866732145697105</v>
      </c>
      <c r="CK92" s="10">
        <f>CK72/Niveau!U6*100</f>
        <v>-1.6962950842454223</v>
      </c>
      <c r="CL92" s="10">
        <f>CL72/Niveau!V6*100</f>
        <v>-1.7064296373534293</v>
      </c>
      <c r="CM92" s="10">
        <f>CM72/Niveau!W6*100</f>
        <v>-1.6548498812072494</v>
      </c>
      <c r="CN92" s="10">
        <f>CN72/Niveau!X6*100</f>
        <v>-1.5592730121189753</v>
      </c>
      <c r="CO92" s="10">
        <f>CO72/Niveau!Y6*100</f>
        <v>-1.4790875614921131</v>
      </c>
      <c r="CP92" s="10">
        <f>CP72/Niveau!Z6*100</f>
        <v>-1.4075685654008439</v>
      </c>
      <c r="CQ92" s="10">
        <f>CQ72/Niveau!AA6*100</f>
        <v>-1.3096726301352475</v>
      </c>
      <c r="CR92" s="10">
        <f>CR72/Niveau!AB6*100</f>
        <v>-1.2123166557774037</v>
      </c>
      <c r="CS92" s="10">
        <f>CS72/Niveau!AC6*100</f>
        <v>-1.0969268896441526</v>
      </c>
      <c r="CT92" s="10">
        <f>CT72/Niveau!AD6*100</f>
        <v>-1.0097078318356962</v>
      </c>
      <c r="CU92" s="10">
        <f>CU72/Niveau!AE6*100</f>
        <v>-0.97149574379021919</v>
      </c>
      <c r="CV92" s="10">
        <f>CV72/Niveau!AF6*100</f>
        <v>-0.97269613985409842</v>
      </c>
      <c r="CW92" s="10">
        <f>CW72/Niveau!AG6*100</f>
        <v>-1.0086835488450392</v>
      </c>
      <c r="CX92" s="10">
        <f>CX72/Niveau!AH6*100</f>
        <v>-1.0462922450094181</v>
      </c>
      <c r="CY92" s="10">
        <f>CY72/Niveau!AI6*100</f>
        <v>-0.99037502179911607</v>
      </c>
      <c r="CZ92" s="10">
        <f>CZ72/Niveau!AJ6*100</f>
        <v>-0.96559441987546735</v>
      </c>
      <c r="DA92" s="10">
        <f>DA72/Niveau!AK6*100</f>
        <v>-0.97423745859082822</v>
      </c>
      <c r="DB92" s="10">
        <f>DB72/Niveau!AL6*100</f>
        <v>-1.0058645978051561</v>
      </c>
      <c r="DC92" s="10">
        <f>DC72/Niveau!AM6*100</f>
        <v>-1.029373542942724</v>
      </c>
      <c r="DD92" s="10">
        <f>DD72/Niveau!AN6*100</f>
        <v>-1.0349329095439255</v>
      </c>
      <c r="DE92" s="10">
        <f>DE72/Niveau!AO6*100</f>
        <v>-1.0472931228364464</v>
      </c>
      <c r="DF92" s="10">
        <f>DF72/Niveau!AP6*100</f>
        <v>-1.051222825946257</v>
      </c>
      <c r="DG92" s="10">
        <f>DG72/Niveau!AQ6*100</f>
        <v>-1.0641249261446555</v>
      </c>
      <c r="DH92" s="10">
        <f>DH72/Niveau!AR6*100</f>
        <v>-1.0615259862264608</v>
      </c>
      <c r="DI92" s="10">
        <f>DI72/Niveau!AS6*100</f>
        <v>-1.0738320749761772</v>
      </c>
      <c r="DJ92" s="10">
        <f>DJ72/Niveau!AT6*100</f>
        <v>-1.0930598342004973</v>
      </c>
      <c r="DK92" s="10">
        <f>DK72/Niveau!AU6*100</f>
        <v>-1.0713214811534866</v>
      </c>
      <c r="DL92" s="10">
        <f>DL72/Niveau!AV6*100</f>
        <v>-1.0949614715454103</v>
      </c>
    </row>
    <row r="93" spans="1:116" x14ac:dyDescent="0.35">
      <c r="A93" s="19"/>
    </row>
    <row r="95" spans="1:116" x14ac:dyDescent="0.35">
      <c r="A95" t="s">
        <v>328</v>
      </c>
      <c r="B95" s="7" t="s">
        <v>248</v>
      </c>
      <c r="CI95" s="10">
        <f>Niveau!T69</f>
        <v>2.2406992235335284</v>
      </c>
      <c r="CJ95" s="10">
        <f>Niveau!U69</f>
        <v>2.2138348530968157</v>
      </c>
      <c r="CK95" s="10">
        <f>Niveau!V69</f>
        <v>2.1614028192665615</v>
      </c>
      <c r="CL95" s="10">
        <f>Niveau!W69</f>
        <v>2.2258360190779487</v>
      </c>
      <c r="CM95" s="10">
        <f>Niveau!X69</f>
        <v>2.4181423698807412</v>
      </c>
      <c r="CN95" s="10">
        <f>Niveau!Y69</f>
        <v>2.5643780961367471</v>
      </c>
      <c r="CO95" s="10">
        <f>Niveau!Z69</f>
        <v>2.7014158860560142</v>
      </c>
      <c r="CP95" s="10">
        <f>Niveau!AA69</f>
        <v>2.9532088993032413</v>
      </c>
      <c r="CQ95" s="10">
        <f>Niveau!AB69</f>
        <v>3.3713820407817949</v>
      </c>
      <c r="CR95" s="10">
        <f>Niveau!AC69</f>
        <v>3.8991899042175189</v>
      </c>
      <c r="CS95" s="10">
        <f>Niveau!AD69</f>
        <v>4.4291265072613681</v>
      </c>
      <c r="CT95" s="10">
        <f>Niveau!AE69</f>
        <v>4.6686422676401698</v>
      </c>
      <c r="CU95" s="10">
        <f>Niveau!AF69</f>
        <v>4.7164872703617755</v>
      </c>
      <c r="CV95" s="10">
        <f>Niveau!AG69</f>
        <v>4.2941753894660568</v>
      </c>
      <c r="CW95" s="10">
        <f>Niveau!AH69</f>
        <v>4.1760579897096122</v>
      </c>
      <c r="CX95" s="10">
        <f>Niveau!AI69</f>
        <v>4.4477782738649889</v>
      </c>
      <c r="CY95" s="10">
        <f>Niveau!AJ69</f>
        <v>4.5300991674591016</v>
      </c>
      <c r="CZ95" s="10">
        <f>Niveau!AK69</f>
        <v>4.4638453106408091</v>
      </c>
      <c r="DA95" s="10">
        <f>Niveau!AL69</f>
        <v>4.4272054025788119</v>
      </c>
      <c r="DB95" s="10">
        <f>Niveau!AM69</f>
        <v>4.2782160152656674</v>
      </c>
      <c r="DC95" s="10">
        <f>Niveau!AN69</f>
        <v>4.2359048917841626</v>
      </c>
      <c r="DD95" s="10">
        <f>Niveau!AO69</f>
        <v>4.3000332464001536</v>
      </c>
      <c r="DE95" s="10">
        <f>Niveau!AP69</f>
        <v>4.3726895299052888</v>
      </c>
      <c r="DF95" s="10">
        <f>Niveau!AQ69</f>
        <v>4.4325510802548074</v>
      </c>
      <c r="DG95" s="10">
        <f>Niveau!AR69</f>
        <v>4.5257910800539944</v>
      </c>
      <c r="DH95" s="10">
        <f>Niveau!AS69</f>
        <v>4.797101429826192</v>
      </c>
      <c r="DI95" s="10">
        <f>Niveau!AT69</f>
        <v>4.9714366901350306</v>
      </c>
      <c r="DJ95" s="10">
        <f>Niveau!AU69</f>
        <v>4.9670925816914249</v>
      </c>
      <c r="DK95" s="10">
        <f>Niveau!AV69</f>
        <v>4.4177009688400108</v>
      </c>
      <c r="DL95" s="10">
        <f>Niveau!AW69</f>
        <v>4.1783951108168988</v>
      </c>
    </row>
    <row r="96" spans="1:116" x14ac:dyDescent="0.35">
      <c r="B96" s="8" t="s">
        <v>249</v>
      </c>
      <c r="CI96" s="10">
        <f>Niveau!T70</f>
        <v>2.5549259194466498</v>
      </c>
      <c r="CJ96" s="10">
        <f>Niveau!U70</f>
        <v>2.6689389895725819</v>
      </c>
      <c r="CK96" s="10">
        <f>Niveau!V70</f>
        <v>2.7819209140477157</v>
      </c>
      <c r="CL96" s="10">
        <f>Niveau!W70</f>
        <v>2.8700083135582646</v>
      </c>
      <c r="CM96" s="10">
        <f>Niveau!X70</f>
        <v>3.1511290873491227</v>
      </c>
      <c r="CN96" s="10">
        <f>Niveau!Y70</f>
        <v>3.0739602424286412</v>
      </c>
      <c r="CO96" s="10">
        <f>Niveau!Z70</f>
        <v>2.8511777117141217</v>
      </c>
      <c r="CP96" s="10">
        <f>Niveau!AA70</f>
        <v>2.7517025672022419</v>
      </c>
      <c r="CQ96" s="10">
        <f>Niveau!AB70</f>
        <v>2.8618855587806955</v>
      </c>
      <c r="CR96" s="10">
        <f>Niveau!AC70</f>
        <v>2.9025886374169625</v>
      </c>
      <c r="CS96" s="10">
        <f>Niveau!AD70</f>
        <v>3.026368905137292</v>
      </c>
      <c r="CT96" s="10">
        <f>Niveau!AE70</f>
        <v>3.2017062599197295</v>
      </c>
      <c r="CU96" s="10">
        <f>Niveau!AF70</f>
        <v>3.2180377128277207</v>
      </c>
      <c r="CV96" s="10">
        <f>Niveau!AG70</f>
        <v>2.8924500866568099</v>
      </c>
      <c r="CW96" s="10">
        <f>Niveau!AH70</f>
        <v>3.1082306819051713</v>
      </c>
      <c r="CX96" s="10">
        <f>Niveau!AI70</f>
        <v>3.2338865278486</v>
      </c>
      <c r="CY96" s="10">
        <f>Niveau!AJ70</f>
        <v>3.1964113411865167</v>
      </c>
      <c r="CZ96" s="10">
        <f>Niveau!AK70</f>
        <v>3.2869168979473948</v>
      </c>
      <c r="DA96" s="10">
        <f>Niveau!AL70</f>
        <v>3.4427603376920262</v>
      </c>
      <c r="DB96" s="10">
        <f>Niveau!AM70</f>
        <v>3.5454700958665621</v>
      </c>
      <c r="DC96" s="10">
        <f>Niveau!AN70</f>
        <v>3.6732223562162591</v>
      </c>
      <c r="DD96" s="10">
        <f>Niveau!AO70</f>
        <v>3.8629841968777936</v>
      </c>
      <c r="DE96" s="10">
        <f>Niveau!AP70</f>
        <v>3.9422710432613988</v>
      </c>
      <c r="DF96" s="10">
        <f>Niveau!AQ70</f>
        <v>3.8037848333388222</v>
      </c>
      <c r="DG96" s="10">
        <f>Niveau!AR70</f>
        <v>4.0161834622661461</v>
      </c>
      <c r="DH96" s="10">
        <f>Niveau!AS70</f>
        <v>4.1758466800105483</v>
      </c>
      <c r="DI96" s="10">
        <f>Niveau!AT70</f>
        <v>4.3062951151626629</v>
      </c>
      <c r="DJ96" s="10">
        <f>Niveau!AU70</f>
        <v>3.8841980119105548</v>
      </c>
      <c r="DK96" s="10">
        <f>Niveau!AV70</f>
        <v>3.8330723293549234</v>
      </c>
      <c r="DL96" s="10">
        <f>Niveau!AW70</f>
        <v>3.7489661961175398</v>
      </c>
    </row>
    <row r="98" spans="1:116" x14ac:dyDescent="0.35">
      <c r="A98" s="23" t="s">
        <v>327</v>
      </c>
      <c r="B98" s="12" t="s">
        <v>259</v>
      </c>
      <c r="CJ98" s="14">
        <f>CJ89/CJ81</f>
        <v>4.4722095083467868E-2</v>
      </c>
      <c r="CK98" s="14">
        <f t="shared" ref="CK98:DL98" si="5">CK89/CK81</f>
        <v>3.406879602490305E-2</v>
      </c>
      <c r="CL98" s="14">
        <f t="shared" si="5"/>
        <v>5.4994249685925374E-2</v>
      </c>
      <c r="CM98" s="14">
        <f t="shared" si="5"/>
        <v>3.9887283695824734E-2</v>
      </c>
      <c r="CN98" s="14">
        <f t="shared" si="5"/>
        <v>5.8391097642853253E-2</v>
      </c>
      <c r="CO98" s="14">
        <f t="shared" si="5"/>
        <v>3.7440186742491256E-2</v>
      </c>
      <c r="CP98" s="14">
        <f t="shared" si="5"/>
        <v>2.7938662040927861E-2</v>
      </c>
      <c r="CQ98" s="14">
        <f t="shared" si="5"/>
        <v>3.0875400596639728E-2</v>
      </c>
      <c r="CR98" s="14">
        <f t="shared" si="5"/>
        <v>6.5836938050363045E-2</v>
      </c>
      <c r="CS98" s="14">
        <f t="shared" si="5"/>
        <v>4.1114766586876983E-3</v>
      </c>
      <c r="CT98" s="14">
        <f t="shared" si="5"/>
        <v>1.534162861242094E-2</v>
      </c>
      <c r="CU98" s="14">
        <f t="shared" si="5"/>
        <v>6.6331973325648528E-3</v>
      </c>
      <c r="CV98" s="14">
        <f t="shared" si="5"/>
        <v>5.8507218136894919E-2</v>
      </c>
      <c r="CW98" s="14">
        <f t="shared" si="5"/>
        <v>2.3306475387273991E-2</v>
      </c>
      <c r="CX98" s="14">
        <f t="shared" si="5"/>
        <v>1.9246157152498181E-2</v>
      </c>
      <c r="CY98" s="14">
        <f t="shared" si="5"/>
        <v>5.9685225795183303E-2</v>
      </c>
      <c r="CZ98" s="14">
        <f t="shared" si="5"/>
        <v>0.11461512403125189</v>
      </c>
      <c r="DA98" s="14">
        <f t="shared" si="5"/>
        <v>7.3644534871344772E-2</v>
      </c>
      <c r="DB98" s="14">
        <f t="shared" si="5"/>
        <v>6.9202581783072439E-2</v>
      </c>
      <c r="DC98" s="14">
        <f t="shared" si="5"/>
        <v>4.7437645812435904E-2</v>
      </c>
      <c r="DD98" s="14">
        <f t="shared" si="5"/>
        <v>4.6778423825109154E-2</v>
      </c>
      <c r="DE98" s="14">
        <f t="shared" si="5"/>
        <v>3.3028442099496895E-2</v>
      </c>
      <c r="DF98" s="14">
        <f t="shared" si="5"/>
        <v>4.1270617615794626E-2</v>
      </c>
      <c r="DG98" s="14">
        <f t="shared" si="5"/>
        <v>5.1515751126242126E-2</v>
      </c>
      <c r="DH98" s="14">
        <f t="shared" si="5"/>
        <v>3.3643087630114595E-2</v>
      </c>
      <c r="DI98" s="14">
        <f t="shared" si="5"/>
        <v>4.545771630478538E-2</v>
      </c>
      <c r="DJ98" s="14">
        <f t="shared" si="5"/>
        <v>5.0580674477842515E-2</v>
      </c>
      <c r="DK98" s="14">
        <f t="shared" si="5"/>
        <v>7.2805750534255712E-2</v>
      </c>
      <c r="DL98" s="14">
        <f t="shared" si="5"/>
        <v>8.0835511270826527E-2</v>
      </c>
    </row>
    <row r="99" spans="1:116" x14ac:dyDescent="0.35">
      <c r="A99" s="23"/>
      <c r="B99" s="12" t="s">
        <v>112</v>
      </c>
      <c r="CJ99" s="14">
        <f>CJ90/CJ81</f>
        <v>8.5305222626880478E-2</v>
      </c>
      <c r="CK99" s="14">
        <f t="shared" ref="CK99:DL99" si="6">CK90/CK81</f>
        <v>0.10101967769967041</v>
      </c>
      <c r="CL99" s="14">
        <f t="shared" si="6"/>
        <v>7.4054904072902369E-2</v>
      </c>
      <c r="CM99" s="14">
        <f t="shared" si="6"/>
        <v>9.9859525562018034E-2</v>
      </c>
      <c r="CN99" s="14">
        <f t="shared" si="6"/>
        <v>7.7395479867172323E-2</v>
      </c>
      <c r="CO99" s="14">
        <f t="shared" si="6"/>
        <v>0.10961413167761894</v>
      </c>
      <c r="CP99" s="14">
        <f t="shared" si="6"/>
        <v>0.11069067303671748</v>
      </c>
      <c r="CQ99" s="14">
        <f t="shared" si="6"/>
        <v>0.11525298773081517</v>
      </c>
      <c r="CR99" s="14">
        <f t="shared" si="6"/>
        <v>7.9247450950100412E-2</v>
      </c>
      <c r="CS99" s="14">
        <f t="shared" si="6"/>
        <v>0.12117559851673158</v>
      </c>
      <c r="CT99" s="14">
        <f t="shared" si="6"/>
        <v>0.12492899445514265</v>
      </c>
      <c r="CU99" s="14">
        <f t="shared" si="6"/>
        <v>0.13083375043606194</v>
      </c>
      <c r="CV99" s="14">
        <f t="shared" si="6"/>
        <v>9.5731295347949136E-2</v>
      </c>
      <c r="CW99" s="14">
        <f t="shared" si="6"/>
        <v>0.12412964130227649</v>
      </c>
      <c r="CX99" s="14">
        <f t="shared" si="6"/>
        <v>0.13663272742845042</v>
      </c>
      <c r="CY99" s="14">
        <f t="shared" si="6"/>
        <v>8.2725455568708889E-2</v>
      </c>
      <c r="CZ99" s="14">
        <f t="shared" si="6"/>
        <v>2.2424180505742394E-2</v>
      </c>
      <c r="DA99" s="14">
        <f t="shared" si="6"/>
        <v>8.0818870770944171E-2</v>
      </c>
      <c r="DB99" s="14">
        <f t="shared" si="6"/>
        <v>6.8066019446999707E-2</v>
      </c>
      <c r="DC99" s="14">
        <f t="shared" si="6"/>
        <v>8.7404435327840826E-2</v>
      </c>
      <c r="DD99" s="14">
        <f t="shared" si="6"/>
        <v>8.7337554394804701E-2</v>
      </c>
      <c r="DE99" s="14">
        <f t="shared" si="6"/>
        <v>8.8293762343409868E-2</v>
      </c>
      <c r="DF99" s="14">
        <f t="shared" si="6"/>
        <v>9.4246652516927487E-2</v>
      </c>
      <c r="DG99" s="14">
        <f t="shared" si="6"/>
        <v>9.1811772550592807E-2</v>
      </c>
      <c r="DH99" s="14">
        <f t="shared" si="6"/>
        <v>0.16013060273592064</v>
      </c>
      <c r="DI99" s="14">
        <f t="shared" si="6"/>
        <v>0.12481176349366956</v>
      </c>
      <c r="DJ99" s="14">
        <f t="shared" si="6"/>
        <v>0.11423525745351293</v>
      </c>
      <c r="DK99" s="14">
        <f t="shared" si="6"/>
        <v>8.8388842431870077E-2</v>
      </c>
      <c r="DL99" s="14">
        <f t="shared" si="6"/>
        <v>8.4121761034405676E-2</v>
      </c>
    </row>
    <row r="100" spans="1:116" x14ac:dyDescent="0.35">
      <c r="A100" s="13"/>
      <c r="B100" s="12" t="s">
        <v>171</v>
      </c>
      <c r="CJ100" s="14">
        <f>CJ98+CJ99</f>
        <v>0.13002731771034834</v>
      </c>
      <c r="CK100" s="14">
        <f t="shared" ref="CK100:DL100" si="7">CK98+CK99</f>
        <v>0.13508847372457344</v>
      </c>
      <c r="CL100" s="14">
        <f t="shared" si="7"/>
        <v>0.12904915375882775</v>
      </c>
      <c r="CM100" s="14">
        <f t="shared" si="7"/>
        <v>0.13974680925784277</v>
      </c>
      <c r="CN100" s="14">
        <f t="shared" si="7"/>
        <v>0.13578657751002557</v>
      </c>
      <c r="CO100" s="14">
        <f t="shared" si="7"/>
        <v>0.14705431842011019</v>
      </c>
      <c r="CP100" s="14">
        <f t="shared" si="7"/>
        <v>0.13862933507764535</v>
      </c>
      <c r="CQ100" s="14">
        <f t="shared" si="7"/>
        <v>0.14612838832745489</v>
      </c>
      <c r="CR100" s="14">
        <f t="shared" si="7"/>
        <v>0.14508438900046344</v>
      </c>
      <c r="CS100" s="14">
        <f t="shared" si="7"/>
        <v>0.12528707517541929</v>
      </c>
      <c r="CT100" s="14">
        <f t="shared" si="7"/>
        <v>0.14027062306756358</v>
      </c>
      <c r="CU100" s="14">
        <f t="shared" si="7"/>
        <v>0.13746694776862678</v>
      </c>
      <c r="CV100" s="14">
        <f t="shared" si="7"/>
        <v>0.15423851348484405</v>
      </c>
      <c r="CW100" s="14">
        <f t="shared" si="7"/>
        <v>0.14743611668955048</v>
      </c>
      <c r="CX100" s="14">
        <f t="shared" si="7"/>
        <v>0.15587888458094862</v>
      </c>
      <c r="CY100" s="14">
        <f t="shared" si="7"/>
        <v>0.14241068136389218</v>
      </c>
      <c r="CZ100" s="14">
        <f t="shared" si="7"/>
        <v>0.13703930453699428</v>
      </c>
      <c r="DA100" s="14">
        <f t="shared" si="7"/>
        <v>0.15446340564228894</v>
      </c>
      <c r="DB100" s="14">
        <f t="shared" si="7"/>
        <v>0.13726860123007215</v>
      </c>
      <c r="DC100" s="14">
        <f t="shared" si="7"/>
        <v>0.13484208114027674</v>
      </c>
      <c r="DD100" s="14">
        <f t="shared" si="7"/>
        <v>0.13411597821991386</v>
      </c>
      <c r="DE100" s="14">
        <f t="shared" si="7"/>
        <v>0.12132220444290676</v>
      </c>
      <c r="DF100" s="14">
        <f t="shared" si="7"/>
        <v>0.13551727013272211</v>
      </c>
      <c r="DG100" s="14">
        <f t="shared" si="7"/>
        <v>0.14332752367683493</v>
      </c>
      <c r="DH100" s="14">
        <f t="shared" si="7"/>
        <v>0.19377369036603523</v>
      </c>
      <c r="DI100" s="14">
        <f t="shared" si="7"/>
        <v>0.17026947979845494</v>
      </c>
      <c r="DJ100" s="14">
        <f t="shared" si="7"/>
        <v>0.16481593193135544</v>
      </c>
      <c r="DK100" s="14">
        <f t="shared" si="7"/>
        <v>0.16119459296612579</v>
      </c>
      <c r="DL100" s="14">
        <f t="shared" si="7"/>
        <v>0.16495727230523222</v>
      </c>
    </row>
    <row r="102" spans="1:116" x14ac:dyDescent="0.35">
      <c r="A102" s="13" t="s">
        <v>322</v>
      </c>
      <c r="B102" s="12" t="s">
        <v>259</v>
      </c>
      <c r="CJ102" s="14">
        <f>CJ72/CJ81</f>
        <v>-4.8263036895302223E-2</v>
      </c>
      <c r="CK102" s="14">
        <f t="shared" ref="CK102:DL102" si="8">CK72/CK81</f>
        <v>-4.8283799872141528E-2</v>
      </c>
      <c r="CL102" s="14">
        <f t="shared" si="8"/>
        <v>-4.7871519083507411E-2</v>
      </c>
      <c r="CM102" s="14">
        <f t="shared" si="8"/>
        <v>-4.7774538527038925E-2</v>
      </c>
      <c r="CN102" s="14">
        <f t="shared" si="8"/>
        <v>-4.6956939882777771E-2</v>
      </c>
      <c r="CO102" s="14">
        <f t="shared" si="8"/>
        <v>-4.6741714596376473E-2</v>
      </c>
      <c r="CP102" s="14">
        <f t="shared" si="8"/>
        <v>-4.6845955445524064E-2</v>
      </c>
      <c r="CQ102" s="14">
        <f t="shared" si="8"/>
        <v>-4.7798657258478754E-2</v>
      </c>
      <c r="CR102" s="14">
        <f t="shared" si="8"/>
        <v>-4.8821064421442913E-2</v>
      </c>
      <c r="CS102" s="14">
        <f t="shared" si="8"/>
        <v>-5.0156467640326087E-2</v>
      </c>
      <c r="CT102" s="14">
        <f t="shared" si="8"/>
        <v>-5.1009674477793546E-2</v>
      </c>
      <c r="CU102" s="14">
        <f t="shared" si="8"/>
        <v>-5.180415889338854E-2</v>
      </c>
      <c r="CV102" s="14">
        <f t="shared" si="8"/>
        <v>-5.3727221988308677E-2</v>
      </c>
      <c r="CW102" s="14">
        <f t="shared" si="8"/>
        <v>-5.3303820538755084E-2</v>
      </c>
      <c r="CX102" s="14">
        <f t="shared" si="8"/>
        <v>-5.3478289487771009E-2</v>
      </c>
      <c r="CY102" s="14">
        <f t="shared" si="8"/>
        <v>-5.3914494750528827E-2</v>
      </c>
      <c r="CZ102" s="14">
        <f t="shared" si="8"/>
        <v>-5.4044794589682511E-2</v>
      </c>
      <c r="DA102" s="14">
        <f t="shared" si="8"/>
        <v>-5.4332752825540696E-2</v>
      </c>
      <c r="DB102" s="14">
        <f t="shared" si="8"/>
        <v>-5.4948797676699343E-2</v>
      </c>
      <c r="DC102" s="14">
        <f t="shared" si="8"/>
        <v>-5.496335200483881E-2</v>
      </c>
      <c r="DD102" s="14">
        <f t="shared" si="8"/>
        <v>-5.4805582439990244E-2</v>
      </c>
      <c r="DE102" s="14">
        <f t="shared" si="8"/>
        <v>-5.5837621992532685E-2</v>
      </c>
      <c r="DF102" s="14">
        <f t="shared" si="8"/>
        <v>-5.6905635627632491E-2</v>
      </c>
      <c r="DG102" s="14">
        <f t="shared" si="8"/>
        <v>-5.8118023668703209E-2</v>
      </c>
      <c r="DH102" s="14">
        <f t="shared" si="8"/>
        <v>-6.0371557536933323E-2</v>
      </c>
      <c r="DI102" s="14">
        <f t="shared" si="8"/>
        <v>-6.2044288458006219E-2</v>
      </c>
      <c r="DJ102" s="14">
        <f t="shared" si="8"/>
        <v>-6.4652090422045283E-2</v>
      </c>
      <c r="DK102" s="14">
        <f t="shared" si="8"/>
        <v>-6.174560136499168E-2</v>
      </c>
      <c r="DL102" s="14">
        <f t="shared" si="8"/>
        <v>-5.8431412163207755E-2</v>
      </c>
    </row>
    <row r="104" spans="1:116" x14ac:dyDescent="0.35">
      <c r="A104" s="23" t="s">
        <v>337</v>
      </c>
      <c r="B104" s="12" t="s">
        <v>329</v>
      </c>
      <c r="CJ104" s="14">
        <f>(CJ76-CJ78)/CJ81</f>
        <v>2.535183191280365E-2</v>
      </c>
      <c r="CK104" s="14">
        <f t="shared" ref="CK104:DL104" si="9">(CK76-CK78)/CK81</f>
        <v>1.6546315519492039E-2</v>
      </c>
      <c r="CL104" s="14">
        <f t="shared" si="9"/>
        <v>0.11990547496606019</v>
      </c>
      <c r="CM104" s="14">
        <f t="shared" si="9"/>
        <v>0.25774533716270503</v>
      </c>
      <c r="CN104" s="14">
        <f t="shared" si="9"/>
        <v>0.25689202308152931</v>
      </c>
      <c r="CO104" s="14">
        <f t="shared" si="9"/>
        <v>0.25120273727903075</v>
      </c>
      <c r="CP104" s="14">
        <f t="shared" si="9"/>
        <v>0.36326677623816483</v>
      </c>
      <c r="CQ104" s="14">
        <f t="shared" si="9"/>
        <v>0.48925565065354409</v>
      </c>
      <c r="CR104" s="14">
        <f t="shared" si="9"/>
        <v>0.62520373088212577</v>
      </c>
      <c r="CS104" s="14">
        <f t="shared" si="9"/>
        <v>0.67092876054476136</v>
      </c>
      <c r="CT104" s="14">
        <f t="shared" si="9"/>
        <v>0.47536805463860066</v>
      </c>
      <c r="CU104" s="14">
        <f t="shared" si="9"/>
        <v>0.24053935174652286</v>
      </c>
      <c r="CV104" s="14">
        <f t="shared" si="9"/>
        <v>-0.31026564963232056</v>
      </c>
      <c r="CW104" s="14">
        <f t="shared" si="9"/>
        <v>-5.5996944481091125E-2</v>
      </c>
      <c r="CX104" s="14">
        <f t="shared" si="9"/>
        <v>0.40793621463957763</v>
      </c>
      <c r="CY104" s="14">
        <f t="shared" si="9"/>
        <v>0.14400512332861107</v>
      </c>
      <c r="CZ104" s="14">
        <f t="shared" si="9"/>
        <v>-0.11060685553717943</v>
      </c>
      <c r="DA104" s="14">
        <f t="shared" si="9"/>
        <v>-0.11265758935526612</v>
      </c>
      <c r="DB104" s="14">
        <f t="shared" si="9"/>
        <v>-0.1232170415928598</v>
      </c>
      <c r="DC104" s="14">
        <f t="shared" si="9"/>
        <v>-1.5252779123979548E-2</v>
      </c>
      <c r="DD104" s="14">
        <f t="shared" si="9"/>
        <v>0.10926023065613617</v>
      </c>
      <c r="DE104" s="14">
        <f t="shared" si="9"/>
        <v>0.16406608139082299</v>
      </c>
      <c r="DF104" s="14">
        <f t="shared" si="9"/>
        <v>0.15796672592366287</v>
      </c>
      <c r="DG104" s="14">
        <f t="shared" si="9"/>
        <v>0.19103831120604131</v>
      </c>
      <c r="DH104" s="14">
        <f t="shared" si="9"/>
        <v>0.29090175874861857</v>
      </c>
      <c r="DI104" s="14">
        <f t="shared" si="9"/>
        <v>0.35673961891267292</v>
      </c>
      <c r="DJ104" s="14">
        <f t="shared" si="9"/>
        <v>0.21020252074141166</v>
      </c>
      <c r="DK104" s="14">
        <f t="shared" si="9"/>
        <v>-0.23952112668125136</v>
      </c>
      <c r="DL104" s="14">
        <f t="shared" si="9"/>
        <v>-9.9052274798397497E-2</v>
      </c>
    </row>
    <row r="105" spans="1:116" x14ac:dyDescent="0.35">
      <c r="A105" s="23"/>
      <c r="B105" s="12" t="s">
        <v>112</v>
      </c>
      <c r="CJ105" s="14">
        <f>CJ77/CJ81</f>
        <v>0.10487220478709103</v>
      </c>
      <c r="CK105" s="14">
        <f t="shared" ref="CK105:DL105" si="10">CK77/CK81</f>
        <v>7.8123823657390332E-2</v>
      </c>
      <c r="CL105" s="14">
        <f t="shared" si="10"/>
        <v>9.2276790842979989E-2</v>
      </c>
      <c r="CM105" s="14">
        <f t="shared" si="10"/>
        <v>0.24906911630994819</v>
      </c>
      <c r="CN105" s="14">
        <f t="shared" si="10"/>
        <v>2.7814195503456783E-2</v>
      </c>
      <c r="CO105" s="14">
        <f t="shared" si="10"/>
        <v>-0.17595453113741191</v>
      </c>
      <c r="CP105" s="14">
        <f t="shared" si="10"/>
        <v>-0.11158180395533789</v>
      </c>
      <c r="CQ105" s="14">
        <f t="shared" si="10"/>
        <v>7.8257094916476477E-2</v>
      </c>
      <c r="CR105" s="14">
        <f t="shared" si="10"/>
        <v>7.4630194654719609E-2</v>
      </c>
      <c r="CS105" s="14">
        <f t="shared" si="10"/>
        <v>0.10181692912650728</v>
      </c>
      <c r="CT105" s="14">
        <f t="shared" si="10"/>
        <v>0.18159429935140145</v>
      </c>
      <c r="CU105" s="14">
        <f t="shared" si="10"/>
        <v>2.7012246810217418E-2</v>
      </c>
      <c r="CV105" s="14">
        <f t="shared" si="10"/>
        <v>-0.31019955545546235</v>
      </c>
      <c r="CW105" s="14">
        <f t="shared" si="10"/>
        <v>9.9937944951797406E-2</v>
      </c>
      <c r="CX105" s="14">
        <f t="shared" si="10"/>
        <v>6.4584739317625428E-2</v>
      </c>
      <c r="CY105" s="14">
        <f t="shared" si="10"/>
        <v>-5.8070601020784422E-2</v>
      </c>
      <c r="CZ105" s="14">
        <f t="shared" si="10"/>
        <v>0.10014679572809837</v>
      </c>
      <c r="DA105" s="14">
        <f t="shared" si="10"/>
        <v>5.2969150818392582E-2</v>
      </c>
      <c r="DB105" s="14">
        <f t="shared" si="10"/>
        <v>4.999049697043418E-2</v>
      </c>
      <c r="DC105" s="14">
        <f t="shared" si="10"/>
        <v>7.6063280249153778E-2</v>
      </c>
      <c r="DD105" s="14">
        <f t="shared" si="10"/>
        <v>4.0288726515112332E-2</v>
      </c>
      <c r="DE105" s="14">
        <f t="shared" si="10"/>
        <v>8.2896538799752048E-2</v>
      </c>
      <c r="DF105" s="14">
        <f t="shared" si="10"/>
        <v>-0.1025606169641312</v>
      </c>
      <c r="DG105" s="14">
        <f t="shared" si="10"/>
        <v>0.24956292047727729</v>
      </c>
      <c r="DH105" s="14">
        <f t="shared" si="10"/>
        <v>4.5284874869239586E-2</v>
      </c>
      <c r="DI105" s="14">
        <f t="shared" si="10"/>
        <v>0.20182857406166541</v>
      </c>
      <c r="DJ105" s="14">
        <f t="shared" si="10"/>
        <v>-0.32822490451691055</v>
      </c>
      <c r="DK105" s="14">
        <f t="shared" si="10"/>
        <v>0.14973012695436233</v>
      </c>
      <c r="DL105" s="14">
        <f t="shared" si="10"/>
        <v>-1.5786464691621247E-3</v>
      </c>
    </row>
    <row r="106" spans="1:116" x14ac:dyDescent="0.35">
      <c r="B106" s="12" t="s">
        <v>171</v>
      </c>
      <c r="CJ106" s="14">
        <f>CJ104+CJ105</f>
        <v>0.13022403669989469</v>
      </c>
      <c r="CK106" s="14">
        <f t="shared" ref="CK106:DL106" si="11">CK104+CK105</f>
        <v>9.467013917688237E-2</v>
      </c>
      <c r="CL106" s="14">
        <f t="shared" si="11"/>
        <v>0.21218226580904018</v>
      </c>
      <c r="CM106" s="14">
        <f t="shared" si="11"/>
        <v>0.50681445347265319</v>
      </c>
      <c r="CN106" s="14">
        <f t="shared" si="11"/>
        <v>0.28470621858498607</v>
      </c>
      <c r="CO106" s="14">
        <f t="shared" si="11"/>
        <v>7.524820614161884E-2</v>
      </c>
      <c r="CP106" s="14">
        <f t="shared" si="11"/>
        <v>0.25168497228282694</v>
      </c>
      <c r="CQ106" s="14">
        <f t="shared" si="11"/>
        <v>0.56751274557002063</v>
      </c>
      <c r="CR106" s="14">
        <f t="shared" si="11"/>
        <v>0.69983392553684542</v>
      </c>
      <c r="CS106" s="14">
        <f t="shared" si="11"/>
        <v>0.77274568967126867</v>
      </c>
      <c r="CT106" s="14">
        <f t="shared" si="11"/>
        <v>0.65696235399000213</v>
      </c>
      <c r="CU106" s="14">
        <f t="shared" si="11"/>
        <v>0.26755159855674027</v>
      </c>
      <c r="CV106" s="14">
        <f t="shared" si="11"/>
        <v>-0.62046520508778291</v>
      </c>
      <c r="CW106" s="14">
        <f t="shared" si="11"/>
        <v>4.394100047070628E-2</v>
      </c>
      <c r="CX106" s="14">
        <f t="shared" si="11"/>
        <v>0.47252095395720306</v>
      </c>
      <c r="CY106" s="14">
        <f t="shared" si="11"/>
        <v>8.5934522307826638E-2</v>
      </c>
      <c r="CZ106" s="14">
        <f t="shared" si="11"/>
        <v>-1.046005980908106E-2</v>
      </c>
      <c r="DA106" s="14">
        <f t="shared" si="11"/>
        <v>-5.9688438536873542E-2</v>
      </c>
      <c r="DB106" s="14">
        <f t="shared" si="11"/>
        <v>-7.3226544622425616E-2</v>
      </c>
      <c r="DC106" s="14">
        <f t="shared" si="11"/>
        <v>6.0810501125174228E-2</v>
      </c>
      <c r="DD106" s="14">
        <f t="shared" si="11"/>
        <v>0.1495489571712485</v>
      </c>
      <c r="DE106" s="14">
        <f t="shared" si="11"/>
        <v>0.24696262019057502</v>
      </c>
      <c r="DF106" s="14">
        <f t="shared" si="11"/>
        <v>5.5406108959531672E-2</v>
      </c>
      <c r="DG106" s="14">
        <f t="shared" si="11"/>
        <v>0.44060123168331861</v>
      </c>
      <c r="DH106" s="14">
        <f t="shared" si="11"/>
        <v>0.33618663361785817</v>
      </c>
      <c r="DI106" s="14">
        <f t="shared" si="11"/>
        <v>0.55856819297433835</v>
      </c>
      <c r="DJ106" s="14">
        <f t="shared" si="11"/>
        <v>-0.1180223837754989</v>
      </c>
      <c r="DK106" s="14">
        <f t="shared" si="11"/>
        <v>-8.9790999726889031E-2</v>
      </c>
      <c r="DL106" s="14">
        <f t="shared" si="11"/>
        <v>-0.10063092126755963</v>
      </c>
    </row>
    <row r="107" spans="1:116" x14ac:dyDescent="0.35">
      <c r="B107" s="12"/>
    </row>
    <row r="108" spans="1:116" x14ac:dyDescent="0.35">
      <c r="A108" s="8" t="s">
        <v>330</v>
      </c>
      <c r="B108" s="12" t="s">
        <v>329</v>
      </c>
      <c r="CJ108" s="14">
        <f>(-CJ83/100*Niveau!T65)/CJ81</f>
        <v>-4.2147498442521691E-2</v>
      </c>
      <c r="CK108" s="14">
        <f>(-CK83/100*Niveau!U65)/CK81</f>
        <v>-4.3346876310401967E-2</v>
      </c>
      <c r="CL108" s="14">
        <f>(-CL83/100*Niveau!V65)/CL81</f>
        <v>-6.6214658391180056E-2</v>
      </c>
      <c r="CM108" s="14">
        <f>(-CM83/100*Niveau!W65)/CM81</f>
        <v>-6.9045667254426804E-2</v>
      </c>
      <c r="CN108" s="14">
        <f>(-CN83/100*Niveau!X65)/CN81</f>
        <v>-9.0541363148628526E-2</v>
      </c>
      <c r="CO108" s="14">
        <f>(-CO83/100*Niveau!Y65)/CO81</f>
        <v>-8.2402112049554638E-2</v>
      </c>
      <c r="CP108" s="14">
        <f>(-CP83/100*Niveau!Z65)/CP81</f>
        <v>-8.3917186506857949E-2</v>
      </c>
      <c r="CQ108" s="14">
        <f>(-CQ83/100*Niveau!AA65)/CQ81</f>
        <v>-3.5464073068013705E-2</v>
      </c>
      <c r="CR108" s="14">
        <f>(-CR83/100*Niveau!AB65)/CR81</f>
        <v>-7.1824494290601407E-2</v>
      </c>
      <c r="CS108" s="14">
        <f>(-CS83/100*Niveau!AC65)/CS81</f>
        <v>-6.1550690065972524E-2</v>
      </c>
      <c r="CT108" s="14">
        <f>(-CT83/100*Niveau!AD65)/CT81</f>
        <v>-0.13756411055726644</v>
      </c>
      <c r="CU108" s="14">
        <f>(-CU83/100*Niveau!AE65)/CU81</f>
        <v>-0.14554663651739708</v>
      </c>
      <c r="CV108" s="14">
        <f>(-CV83/100*Niveau!AF65)/CV81</f>
        <v>-1.9618646222223202E-2</v>
      </c>
      <c r="CW108" s="14">
        <f>(-CW83/100*Niveau!AG65)/CW81</f>
        <v>-7.8955954631187333E-2</v>
      </c>
      <c r="CX108" s="14">
        <f>(-CX83/100*Niveau!AH65)/CX81</f>
        <v>-5.9878801745339598E-2</v>
      </c>
      <c r="CY108" s="14">
        <f>(-CY83/100*Niveau!AI65)/CY81</f>
        <v>-1.5573304507927509E-2</v>
      </c>
      <c r="CZ108" s="14">
        <f>(-CZ83/100*Niveau!AJ65)/CZ81</f>
        <v>1.1275472153929881E-2</v>
      </c>
      <c r="DA108" s="14">
        <f>(-DA83/100*Niveau!AK65)/DA81</f>
        <v>4.4493899704056317E-2</v>
      </c>
      <c r="DB108" s="14">
        <f>(-DB83/100*Niveau!AL65)/DB81</f>
        <v>-5.7965568859021696E-2</v>
      </c>
      <c r="DC108" s="14">
        <f>(-DC83/100*Niveau!AM65)/DC81</f>
        <v>-4.0212472488383832E-2</v>
      </c>
      <c r="DD108" s="14">
        <f>(-DD83/100*Niveau!AN65)/DD81</f>
        <v>-6.2558588222364236E-2</v>
      </c>
      <c r="DE108" s="14">
        <f>(-DE83/100*Niveau!AO65)/DE81</f>
        <v>-7.2737827639612646E-2</v>
      </c>
      <c r="DF108" s="14">
        <f>(-DF83/100*Niveau!AP65)/DF81</f>
        <v>-3.9796220555039161E-2</v>
      </c>
      <c r="DG108" s="14">
        <f>(-DG83/100*Niveau!AQ65)/DG81</f>
        <v>-0.11203298666015699</v>
      </c>
      <c r="DH108" s="14">
        <f>(-DH83/100*Niveau!AR65)/DH81</f>
        <v>-1.0464535665235253E-2</v>
      </c>
      <c r="DI108" s="14">
        <f>(-DI83/100*Niveau!AS65)/DI81</f>
        <v>-0.1594592448811446</v>
      </c>
      <c r="DJ108" s="14">
        <f>(-DJ83/100*Niveau!AT65)/DJ81</f>
        <v>-1.9991556082058912E-2</v>
      </c>
      <c r="DK108" s="14">
        <f>(-DK83/100*Niveau!AU65)/DK81</f>
        <v>-3.9833891914503212E-2</v>
      </c>
      <c r="DL108" s="14">
        <f>(-DL83/100*Niveau!AV65)/DL81</f>
        <v>-0.1101773525682381</v>
      </c>
    </row>
    <row r="109" spans="1:116" x14ac:dyDescent="0.35">
      <c r="B109" s="12" t="s">
        <v>112</v>
      </c>
      <c r="CJ109" s="14">
        <f>(-CJ83/100*Niveau!T66)/CJ81</f>
        <v>-4.805809502661465E-2</v>
      </c>
      <c r="CK109" s="14">
        <f>(-CK83/100*Niveau!U66)/CK81</f>
        <v>-5.2257813223592117E-2</v>
      </c>
      <c r="CL109" s="14">
        <f>(-CL83/100*Niveau!V66)/CL81</f>
        <v>-8.5224254059895962E-2</v>
      </c>
      <c r="CM109" s="14">
        <f>(-CM83/100*Niveau!W66)/CM81</f>
        <v>-8.9027959533816398E-2</v>
      </c>
      <c r="CN109" s="14">
        <f>(-CN83/100*Niveau!X66)/CN81</f>
        <v>-0.1179862387672212</v>
      </c>
      <c r="CO109" s="14">
        <f>(-CO83/100*Niveau!Y66)/CO81</f>
        <v>-9.8776704072648408E-2</v>
      </c>
      <c r="CP109" s="14">
        <f>(-CP83/100*Niveau!Z66)/CP81</f>
        <v>-8.856941022414247E-2</v>
      </c>
      <c r="CQ109" s="14">
        <f>(-CQ83/100*Niveau!AA66)/CQ81</f>
        <v>-3.3044252618812393E-2</v>
      </c>
      <c r="CR109" s="14">
        <f>(-CR83/100*Niveau!AB66)/CR81</f>
        <v>-6.0970094901891494E-2</v>
      </c>
      <c r="CS109" s="14">
        <f>(-CS83/100*Niveau!AC66)/CS81</f>
        <v>-4.5818833655017203E-2</v>
      </c>
      <c r="CT109" s="14">
        <f>(-CT83/100*Niveau!AD66)/CT81</f>
        <v>-9.399590324883271E-2</v>
      </c>
      <c r="CU109" s="14">
        <f>(-CU83/100*Niveau!AE66)/CU81</f>
        <v>-9.9814367975457813E-2</v>
      </c>
      <c r="CV109" s="14">
        <f>(-CV83/100*Niveau!AF66)/CV81</f>
        <v>-1.3385712671052485E-2</v>
      </c>
      <c r="CW109" s="14">
        <f>(-CW83/100*Niveau!AG66)/CW81</f>
        <v>-5.3182773664828237E-2</v>
      </c>
      <c r="CX109" s="14">
        <f>(-CX83/100*Niveau!AH66)/CX81</f>
        <v>-4.4567659079256076E-2</v>
      </c>
      <c r="CY109" s="14">
        <f>(-CY83/100*Niveau!AI66)/CY81</f>
        <v>-1.1323023887723448E-2</v>
      </c>
      <c r="CZ109" s="14">
        <f>(-CZ83/100*Niveau!AJ66)/CZ81</f>
        <v>7.9559068660012104E-3</v>
      </c>
      <c r="DA109" s="14">
        <f>(-DA83/100*Niveau!AK66)/DA81</f>
        <v>3.2762728234380652E-2</v>
      </c>
      <c r="DB109" s="14">
        <f>(-DB83/100*Niveau!AL66)/DB81</f>
        <v>-4.5076192151227705E-2</v>
      </c>
      <c r="DC109" s="14">
        <f>(-DC83/100*Niveau!AM66)/DC81</f>
        <v>-3.3325133228357652E-2</v>
      </c>
      <c r="DD109" s="14">
        <f>(-DD83/100*Niveau!AN66)/DD81</f>
        <v>-5.4248527930221613E-2</v>
      </c>
      <c r="DE109" s="14">
        <f>(-DE83/100*Niveau!AO66)/DE81</f>
        <v>-6.5344861908283119E-2</v>
      </c>
      <c r="DF109" s="14">
        <f>(-DF83/100*Niveau!AP66)/DF81</f>
        <v>-3.5878945178340407E-2</v>
      </c>
      <c r="DG109" s="14">
        <f>(-DG83/100*Niveau!AQ66)/DG81</f>
        <v>-9.6140883156400833E-2</v>
      </c>
      <c r="DH109" s="14">
        <f>(-DH83/100*Niveau!AR66)/DH81</f>
        <v>-9.2862207591143768E-3</v>
      </c>
      <c r="DI109" s="14">
        <f>(-DI83/100*Niveau!AS66)/DI81</f>
        <v>-0.13880827163540771</v>
      </c>
      <c r="DJ109" s="14">
        <f>(-DJ83/100*Niveau!AT66)/DJ81</f>
        <v>-1.731683327507735E-2</v>
      </c>
      <c r="DK109" s="14">
        <f>(-DK83/100*Niveau!AU66)/DK81</f>
        <v>-3.1149555043785023E-2</v>
      </c>
      <c r="DL109" s="14">
        <f>(-DL83/100*Niveau!AV66)/DL81</f>
        <v>-9.5596728802987821E-2</v>
      </c>
    </row>
    <row r="110" spans="1:116" x14ac:dyDescent="0.35">
      <c r="B110" s="12" t="s">
        <v>171</v>
      </c>
      <c r="CJ110" s="14">
        <f>CJ108+CJ109</f>
        <v>-9.0205593469136341E-2</v>
      </c>
      <c r="CK110" s="14">
        <f t="shared" ref="CK110:DL110" si="12">CK108+CK109</f>
        <v>-9.5604689533994092E-2</v>
      </c>
      <c r="CL110" s="14">
        <f t="shared" si="12"/>
        <v>-0.15143891245107602</v>
      </c>
      <c r="CM110" s="14">
        <f t="shared" si="12"/>
        <v>-0.15807362678824322</v>
      </c>
      <c r="CN110" s="14">
        <f t="shared" si="12"/>
        <v>-0.20852760191584974</v>
      </c>
      <c r="CO110" s="14">
        <f t="shared" si="12"/>
        <v>-0.18117881612220305</v>
      </c>
      <c r="CP110" s="14">
        <f t="shared" si="12"/>
        <v>-0.17248659673100042</v>
      </c>
      <c r="CQ110" s="14">
        <f t="shared" si="12"/>
        <v>-6.8508325686826105E-2</v>
      </c>
      <c r="CR110" s="14">
        <f t="shared" si="12"/>
        <v>-0.1327945891924929</v>
      </c>
      <c r="CS110" s="14">
        <f t="shared" si="12"/>
        <v>-0.10736952372098973</v>
      </c>
      <c r="CT110" s="14">
        <f t="shared" si="12"/>
        <v>-0.23156001380609914</v>
      </c>
      <c r="CU110" s="14">
        <f t="shared" si="12"/>
        <v>-0.24536100449285489</v>
      </c>
      <c r="CV110" s="14">
        <f t="shared" si="12"/>
        <v>-3.3004358893275687E-2</v>
      </c>
      <c r="CW110" s="14">
        <f t="shared" si="12"/>
        <v>-0.13213872829601558</v>
      </c>
      <c r="CX110" s="14">
        <f t="shared" si="12"/>
        <v>-0.10444646082459567</v>
      </c>
      <c r="CY110" s="14">
        <f t="shared" si="12"/>
        <v>-2.6896328395650957E-2</v>
      </c>
      <c r="CZ110" s="14">
        <f t="shared" si="12"/>
        <v>1.9231379019931091E-2</v>
      </c>
      <c r="DA110" s="14">
        <f t="shared" si="12"/>
        <v>7.7256627938436961E-2</v>
      </c>
      <c r="DB110" s="14">
        <f t="shared" si="12"/>
        <v>-0.10304176101024939</v>
      </c>
      <c r="DC110" s="14">
        <f t="shared" si="12"/>
        <v>-7.3537605716741478E-2</v>
      </c>
      <c r="DD110" s="14">
        <f t="shared" si="12"/>
        <v>-0.11680711615258585</v>
      </c>
      <c r="DE110" s="14">
        <f t="shared" si="12"/>
        <v>-0.13808268954789576</v>
      </c>
      <c r="DF110" s="14">
        <f t="shared" si="12"/>
        <v>-7.5675165733379568E-2</v>
      </c>
      <c r="DG110" s="14">
        <f t="shared" si="12"/>
        <v>-0.20817386981655783</v>
      </c>
      <c r="DH110" s="14">
        <f t="shared" si="12"/>
        <v>-1.975075642434963E-2</v>
      </c>
      <c r="DI110" s="14">
        <f t="shared" si="12"/>
        <v>-0.29826751651655231</v>
      </c>
      <c r="DJ110" s="14">
        <f t="shared" si="12"/>
        <v>-3.7308389357136262E-2</v>
      </c>
      <c r="DK110" s="14">
        <f t="shared" si="12"/>
        <v>-7.0983446958288232E-2</v>
      </c>
      <c r="DL110" s="14">
        <f t="shared" si="12"/>
        <v>-0.20577408137122594</v>
      </c>
    </row>
    <row r="112" spans="1:116" x14ac:dyDescent="0.35">
      <c r="A112" s="8" t="s">
        <v>331</v>
      </c>
      <c r="B112" s="12" t="s">
        <v>329</v>
      </c>
      <c r="CJ112" s="14">
        <f>(-CJ84/100*Niveau!T65)/CJ81</f>
        <v>-3.238417563595971E-2</v>
      </c>
      <c r="CK112" s="14">
        <f>(-CK84/100*Niveau!U65)/CK81</f>
        <v>-1.6456798204366841E-2</v>
      </c>
      <c r="CL112" s="14">
        <f>(-CL84/100*Niveau!V65)/CL81</f>
        <v>-2.7828989982965234E-3</v>
      </c>
      <c r="CM112" s="14">
        <f>(-CM84/100*Niveau!W65)/CM81</f>
        <v>1.0293649003930396E-2</v>
      </c>
      <c r="CN112" s="14">
        <f>(-CN84/100*Niveau!X65)/CN81</f>
        <v>-4.7338254731532053E-2</v>
      </c>
      <c r="CO112" s="14">
        <f>(-CO84/100*Niveau!Y65)/CO81</f>
        <v>-4.2927257586413706E-2</v>
      </c>
      <c r="CP112" s="14">
        <f>(-CP84/100*Niveau!Z65)/CP81</f>
        <v>-2.5505215879311274E-2</v>
      </c>
      <c r="CQ112" s="14">
        <f>(-CQ84/100*Niveau!AA65)/CQ81</f>
        <v>-4.3968773605238827E-2</v>
      </c>
      <c r="CR112" s="14">
        <f>(-CR84/100*Niveau!AB65)/CR81</f>
        <v>-6.7454000994515678E-2</v>
      </c>
      <c r="CS112" s="14">
        <f>(-CS84/100*Niveau!AC65)/CS81</f>
        <v>-6.7559822694903057E-2</v>
      </c>
      <c r="CT112" s="14">
        <f>(-CT84/100*Niveau!AD65)/CT81</f>
        <v>-8.7280884199593609E-2</v>
      </c>
      <c r="CU112" s="14">
        <f>(-CU84/100*Niveau!AE65)/CU81</f>
        <v>-8.3900782636392585E-2</v>
      </c>
      <c r="CV112" s="14">
        <f>(-CV84/100*Niveau!AF65)/CV81</f>
        <v>-0.12957414439048115</v>
      </c>
      <c r="CW112" s="14">
        <f>(-CW84/100*Niveau!AG65)/CW81</f>
        <v>7.050008611970271E-2</v>
      </c>
      <c r="CX112" s="14">
        <f>(-CX84/100*Niveau!AH65)/CX81</f>
        <v>-4.9531765604343928E-2</v>
      </c>
      <c r="CY112" s="14">
        <f>(-CY84/100*Niveau!AI65)/CY81</f>
        <v>-7.8497348405752107E-2</v>
      </c>
      <c r="CZ112" s="14">
        <f>(-CZ84/100*Niveau!AJ65)/CZ81</f>
        <v>-5.8545745358958193E-2</v>
      </c>
      <c r="DA112" s="14">
        <f>(-DA84/100*Niveau!AK65)/DA81</f>
        <v>-2.644318654044607E-2</v>
      </c>
      <c r="DB112" s="14">
        <f>(-DB84/100*Niveau!AL65)/DB81</f>
        <v>-5.3239773447775153E-3</v>
      </c>
      <c r="DC112" s="14">
        <f>(-DC84/100*Niveau!AM65)/DC81</f>
        <v>-9.7250405551109961E-3</v>
      </c>
      <c r="DD112" s="14">
        <f>(-DD84/100*Niveau!AN65)/DD81</f>
        <v>-8.2468968253381902E-3</v>
      </c>
      <c r="DE112" s="14">
        <f>(-DE84/100*Niveau!AO65)/DE81</f>
        <v>-3.2176561634159349E-2</v>
      </c>
      <c r="DF112" s="14">
        <f>(-DF84/100*Niveau!AP65)/DF81</f>
        <v>-8.1958032144526349E-2</v>
      </c>
      <c r="DG112" s="14">
        <f>(-DG84/100*Niveau!AQ65)/DG81</f>
        <v>-3.3907093014588295E-2</v>
      </c>
      <c r="DH112" s="14">
        <f>(-DH84/100*Niveau!AR65)/DH81</f>
        <v>-3.3924215628713547E-2</v>
      </c>
      <c r="DI112" s="14">
        <f>(-DI84/100*Niveau!AS65)/DI81</f>
        <v>-6.2225664675663622E-2</v>
      </c>
      <c r="DJ112" s="14">
        <f>(-DJ84/100*Niveau!AT65)/DJ81</f>
        <v>-0.2324123639286241</v>
      </c>
      <c r="DK112" s="14">
        <f>(-DK84/100*Niveau!AU65)/DK81</f>
        <v>-0.32303250885358148</v>
      </c>
      <c r="DL112" s="14">
        <f>(-DL84/100*Niveau!AV65)/DL81</f>
        <v>-9.2189360180711485E-2</v>
      </c>
    </row>
    <row r="113" spans="1:116" x14ac:dyDescent="0.35">
      <c r="B113" s="12" t="s">
        <v>112</v>
      </c>
      <c r="CJ113" s="14">
        <f>(-CJ84/100*Niveau!T66)/CJ81</f>
        <v>-3.6925602884687263E-2</v>
      </c>
      <c r="CK113" s="14">
        <f>(-CK84/100*Niveau!U66)/CK81</f>
        <v>-1.983986759885106E-2</v>
      </c>
      <c r="CL113" s="14">
        <f>(-CL84/100*Niveau!V66)/CL81</f>
        <v>-3.5818427069835121E-3</v>
      </c>
      <c r="CM113" s="14">
        <f>(-CM84/100*Niveau!W66)/CM81</f>
        <v>1.3272702016193046E-2</v>
      </c>
      <c r="CN113" s="14">
        <f>(-CN84/100*Niveau!X66)/CN81</f>
        <v>-6.1687414805204233E-2</v>
      </c>
      <c r="CO113" s="14">
        <f>(-CO84/100*Niveau!Y66)/CO81</f>
        <v>-5.1457576921251448E-2</v>
      </c>
      <c r="CP113" s="14">
        <f>(-CP84/100*Niveau!Z66)/CP81</f>
        <v>-2.6919180946151266E-2</v>
      </c>
      <c r="CQ113" s="14">
        <f>(-CQ84/100*Niveau!AA66)/CQ81</f>
        <v>-4.0968651839974862E-2</v>
      </c>
      <c r="CR113" s="14">
        <f>(-CR84/100*Niveau!AB66)/CR81</f>
        <v>-5.7260087700834239E-2</v>
      </c>
      <c r="CS113" s="14">
        <f>(-CS84/100*Niveau!AC66)/CS81</f>
        <v>-5.0292080795557671E-2</v>
      </c>
      <c r="CT113" s="14">
        <f>(-CT84/100*Niveau!AD66)/CT81</f>
        <v>-5.9637979073635744E-2</v>
      </c>
      <c r="CU113" s="14">
        <f>(-CU84/100*Niveau!AE66)/CU81</f>
        <v>-5.7538283205169037E-2</v>
      </c>
      <c r="CV113" s="14">
        <f>(-CV84/100*Niveau!AF66)/CV81</f>
        <v>-8.8407846635398427E-2</v>
      </c>
      <c r="CW113" s="14">
        <f>(-CW84/100*Niveau!AG66)/CW81</f>
        <v>4.7487110262536825E-2</v>
      </c>
      <c r="CX113" s="14">
        <f>(-CX84/100*Niveau!AH66)/CX81</f>
        <v>-3.6866383072200248E-2</v>
      </c>
      <c r="CY113" s="14">
        <f>(-CY84/100*Niveau!AI66)/CY81</f>
        <v>-5.7073779727920201E-2</v>
      </c>
      <c r="CZ113" s="14">
        <f>(-CZ84/100*Niveau!AJ66)/CZ81</f>
        <v>-4.1309533748806471E-2</v>
      </c>
      <c r="DA113" s="14">
        <f>(-DA84/100*Niveau!AK66)/DA81</f>
        <v>-1.9471229540185382E-2</v>
      </c>
      <c r="DB113" s="14">
        <f>(-DB84/100*Niveau!AL66)/DB81</f>
        <v>-4.1401237066376754E-3</v>
      </c>
      <c r="DC113" s="14">
        <f>(-DC84/100*Niveau!AM66)/DC81</f>
        <v>-8.0593968014245933E-3</v>
      </c>
      <c r="DD113" s="14">
        <f>(-DD84/100*Niveau!AN66)/DD81</f>
        <v>-7.1514083913913982E-3</v>
      </c>
      <c r="DE113" s="14">
        <f>(-DE84/100*Niveau!AO66)/DE81</f>
        <v>-2.8906183273508336E-2</v>
      </c>
      <c r="DF113" s="14">
        <f>(-DF84/100*Niveau!AP66)/DF81</f>
        <v>-7.3890628336709605E-2</v>
      </c>
      <c r="DG113" s="14">
        <f>(-DG84/100*Niveau!AQ66)/DG81</f>
        <v>-2.9097303971528168E-2</v>
      </c>
      <c r="DH113" s="14">
        <f>(-DH84/100*Niveau!AR66)/DH81</f>
        <v>-3.0104322397657958E-2</v>
      </c>
      <c r="DI113" s="14">
        <f>(-DI84/100*Niveau!AS66)/DI81</f>
        <v>-5.4167050467543325E-2</v>
      </c>
      <c r="DJ113" s="14">
        <f>(-DJ84/100*Niveau!AT66)/DJ81</f>
        <v>-0.20131730320034649</v>
      </c>
      <c r="DK113" s="14">
        <f>(-DK84/100*Niveau!AU66)/DK81</f>
        <v>-0.25260697440922159</v>
      </c>
      <c r="DL113" s="14">
        <f>(-DL84/100*Niveau!AV66)/DL81</f>
        <v>-7.9989226989803819E-2</v>
      </c>
    </row>
    <row r="114" spans="1:116" x14ac:dyDescent="0.35">
      <c r="B114" s="12" t="s">
        <v>171</v>
      </c>
      <c r="CJ114" s="14">
        <f>CJ112+CJ113</f>
        <v>-6.9309778520646972E-2</v>
      </c>
      <c r="CK114" s="14">
        <f t="shared" ref="CK114:DL114" si="13">CK112+CK113</f>
        <v>-3.6296665803217901E-2</v>
      </c>
      <c r="CL114" s="14">
        <f t="shared" si="13"/>
        <v>-6.3647417052800359E-3</v>
      </c>
      <c r="CM114" s="14">
        <f t="shared" si="13"/>
        <v>2.3566351020123444E-2</v>
      </c>
      <c r="CN114" s="14">
        <f t="shared" si="13"/>
        <v>-0.10902566953673629</v>
      </c>
      <c r="CO114" s="14">
        <f t="shared" si="13"/>
        <v>-9.4384834507665161E-2</v>
      </c>
      <c r="CP114" s="14">
        <f t="shared" si="13"/>
        <v>-5.2424396825462544E-2</v>
      </c>
      <c r="CQ114" s="14">
        <f t="shared" si="13"/>
        <v>-8.4937425445213682E-2</v>
      </c>
      <c r="CR114" s="14">
        <f t="shared" si="13"/>
        <v>-0.12471408869534992</v>
      </c>
      <c r="CS114" s="14">
        <f t="shared" si="13"/>
        <v>-0.11785190349046074</v>
      </c>
      <c r="CT114" s="14">
        <f t="shared" si="13"/>
        <v>-0.14691886327322934</v>
      </c>
      <c r="CU114" s="14">
        <f t="shared" si="13"/>
        <v>-0.14143906584156163</v>
      </c>
      <c r="CV114" s="14">
        <f t="shared" si="13"/>
        <v>-0.21798199102587956</v>
      </c>
      <c r="CW114" s="14">
        <f t="shared" si="13"/>
        <v>0.11798719638223953</v>
      </c>
      <c r="CX114" s="14">
        <f t="shared" si="13"/>
        <v>-8.6398148676544176E-2</v>
      </c>
      <c r="CY114" s="14">
        <f t="shared" si="13"/>
        <v>-0.13557112813367231</v>
      </c>
      <c r="CZ114" s="14">
        <f t="shared" si="13"/>
        <v>-9.9855279107764663E-2</v>
      </c>
      <c r="DA114" s="14">
        <f t="shared" si="13"/>
        <v>-4.5914416080631452E-2</v>
      </c>
      <c r="DB114" s="14">
        <f t="shared" si="13"/>
        <v>-9.4641010514151906E-3</v>
      </c>
      <c r="DC114" s="14">
        <f t="shared" si="13"/>
        <v>-1.7784437356535589E-2</v>
      </c>
      <c r="DD114" s="14">
        <f t="shared" si="13"/>
        <v>-1.5398305216729588E-2</v>
      </c>
      <c r="DE114" s="14">
        <f t="shared" si="13"/>
        <v>-6.1082744907667685E-2</v>
      </c>
      <c r="DF114" s="14">
        <f t="shared" si="13"/>
        <v>-0.15584866048123597</v>
      </c>
      <c r="DG114" s="14">
        <f t="shared" si="13"/>
        <v>-6.3004396986116457E-2</v>
      </c>
      <c r="DH114" s="14">
        <f t="shared" si="13"/>
        <v>-6.4028538026371512E-2</v>
      </c>
      <c r="DI114" s="14">
        <f t="shared" si="13"/>
        <v>-0.11639271514320695</v>
      </c>
      <c r="DJ114" s="14">
        <f t="shared" si="13"/>
        <v>-0.4337296671289706</v>
      </c>
      <c r="DK114" s="14">
        <f t="shared" si="13"/>
        <v>-0.57563948326280312</v>
      </c>
      <c r="DL114" s="14">
        <f t="shared" si="13"/>
        <v>-0.17217858717051532</v>
      </c>
    </row>
    <row r="117" spans="1:116" x14ac:dyDescent="0.35">
      <c r="CI117" s="10">
        <f>CI121</f>
        <v>4.7956251429801782</v>
      </c>
      <c r="CJ117" s="10">
        <f>CI121</f>
        <v>4.7956251429801782</v>
      </c>
      <c r="CK117" s="10">
        <f t="shared" ref="CK117:DL117" si="14">CJ121</f>
        <v>4.8827738426693976</v>
      </c>
      <c r="CL117" s="10">
        <f t="shared" si="14"/>
        <v>4.9433237333142772</v>
      </c>
      <c r="CM117" s="10">
        <f t="shared" si="14"/>
        <v>5.0958443326362133</v>
      </c>
      <c r="CN117" s="10">
        <f t="shared" si="14"/>
        <v>5.5692714572298634</v>
      </c>
      <c r="CO117" s="10">
        <f t="shared" si="14"/>
        <v>5.6383383385653882</v>
      </c>
      <c r="CP117" s="10">
        <f t="shared" si="14"/>
        <v>5.5525935977701355</v>
      </c>
      <c r="CQ117" s="10">
        <f t="shared" si="14"/>
        <v>5.7049114665054832</v>
      </c>
      <c r="CR117" s="10">
        <f t="shared" si="14"/>
        <v>6.23326759956249</v>
      </c>
      <c r="CS117" s="10">
        <f t="shared" si="14"/>
        <v>6.8017785416344818</v>
      </c>
      <c r="CT117" s="10">
        <f t="shared" si="14"/>
        <v>7.4554954123986601</v>
      </c>
      <c r="CU117" s="10">
        <f t="shared" si="14"/>
        <v>7.8703485275598997</v>
      </c>
      <c r="CV117" s="10">
        <f t="shared" si="14"/>
        <v>7.9345249831894957</v>
      </c>
      <c r="CW117" s="10">
        <f t="shared" si="14"/>
        <v>7.1866254761228667</v>
      </c>
      <c r="CX117" s="10">
        <f t="shared" si="14"/>
        <v>7.2842886716147834</v>
      </c>
      <c r="CY117" s="10">
        <f t="shared" si="14"/>
        <v>7.6816648017135893</v>
      </c>
      <c r="CZ117" s="10">
        <f t="shared" si="14"/>
        <v>7.7265105086456183</v>
      </c>
      <c r="DA117" s="10">
        <f t="shared" si="14"/>
        <v>7.7507622085882044</v>
      </c>
      <c r="DB117" s="10">
        <f t="shared" si="14"/>
        <v>7.8699657402708381</v>
      </c>
      <c r="DC117" s="10">
        <f t="shared" si="14"/>
        <v>7.8236861111322291</v>
      </c>
      <c r="DD117" s="10">
        <f t="shared" si="14"/>
        <v>7.9091272480004218</v>
      </c>
      <c r="DE117" s="10">
        <f t="shared" si="14"/>
        <v>8.1630174432779476</v>
      </c>
      <c r="DF117" s="10">
        <f t="shared" si="14"/>
        <v>8.3149605731666867</v>
      </c>
      <c r="DG117" s="10">
        <f t="shared" si="14"/>
        <v>8.2363359135936296</v>
      </c>
      <c r="DH117" s="10">
        <f t="shared" si="14"/>
        <v>8.5419745423201405</v>
      </c>
      <c r="DI117" s="10">
        <f t="shared" si="14"/>
        <v>8.9729481098367394</v>
      </c>
      <c r="DJ117" s="10">
        <f t="shared" si="14"/>
        <v>9.2777318052976945</v>
      </c>
      <c r="DK117" s="10">
        <f t="shared" si="14"/>
        <v>8.8512905936019806</v>
      </c>
      <c r="DL117" s="10">
        <f t="shared" si="14"/>
        <v>8.2507732981949342</v>
      </c>
    </row>
    <row r="119" spans="1:116" x14ac:dyDescent="0.35">
      <c r="B119" t="s">
        <v>334</v>
      </c>
      <c r="CJ119" s="14">
        <f>(CJ121-CI121)-(CJ100+CJ102+CJ106+CJ110+CJ114)</f>
        <v>3.4675754164061975E-2</v>
      </c>
      <c r="CK119" s="14">
        <f t="shared" ref="CK119:DL119" si="15">(CK121-CJ121)-(CK100+CK102+CK106+CK110+CK114)</f>
        <v>1.0976432952777296E-2</v>
      </c>
      <c r="CL119" s="14">
        <f t="shared" si="15"/>
        <v>1.696435299393162E-2</v>
      </c>
      <c r="CM119" s="14">
        <f t="shared" si="15"/>
        <v>9.1476761583128563E-3</v>
      </c>
      <c r="CN119" s="14">
        <f t="shared" si="15"/>
        <v>1.3084296575877036E-2</v>
      </c>
      <c r="CO119" s="14">
        <f t="shared" si="15"/>
        <v>1.4258099869262908E-2</v>
      </c>
      <c r="CP119" s="14">
        <f t="shared" si="15"/>
        <v>3.3760510376862424E-2</v>
      </c>
      <c r="CQ119" s="14">
        <f t="shared" si="15"/>
        <v>1.5959407550049765E-2</v>
      </c>
      <c r="CR119" s="14">
        <f t="shared" si="15"/>
        <v>2.9922369843968677E-2</v>
      </c>
      <c r="CS119" s="14">
        <f t="shared" si="15"/>
        <v>3.1062000769266906E-2</v>
      </c>
      <c r="CT119" s="14">
        <f t="shared" si="15"/>
        <v>4.7108689660795844E-2</v>
      </c>
      <c r="CU119" s="14">
        <f t="shared" si="15"/>
        <v>9.7762138532034054E-2</v>
      </c>
      <c r="CV119" s="14">
        <f t="shared" si="15"/>
        <v>2.3040756443773791E-2</v>
      </c>
      <c r="CW119" s="14">
        <f t="shared" si="15"/>
        <v>-2.6258569215808908E-2</v>
      </c>
      <c r="CX119" s="14">
        <f t="shared" si="15"/>
        <v>1.3299190549565021E-2</v>
      </c>
      <c r="CY119" s="14">
        <f t="shared" si="15"/>
        <v>3.2882454540162198E-2</v>
      </c>
      <c r="CZ119" s="14">
        <f t="shared" si="15"/>
        <v>3.2341149892188989E-2</v>
      </c>
      <c r="DA119" s="14">
        <f t="shared" si="15"/>
        <v>4.7419105544953433E-2</v>
      </c>
      <c r="DB119" s="14">
        <f t="shared" si="15"/>
        <v>5.7132973992108455E-2</v>
      </c>
      <c r="DC119" s="14">
        <f t="shared" si="15"/>
        <v>3.6073949680857587E-2</v>
      </c>
      <c r="DD119" s="14">
        <f t="shared" si="15"/>
        <v>0.15723626369566923</v>
      </c>
      <c r="DE119" s="14">
        <f t="shared" si="15"/>
        <v>3.8661361703353381E-2</v>
      </c>
      <c r="DF119" s="14">
        <f t="shared" si="15"/>
        <v>1.888142317693714E-2</v>
      </c>
      <c r="DG119" s="14">
        <f t="shared" si="15"/>
        <v>5.100616383773493E-2</v>
      </c>
      <c r="DH119" s="14">
        <f t="shared" si="15"/>
        <v>4.5164095520359937E-2</v>
      </c>
      <c r="DI119" s="14">
        <f t="shared" si="15"/>
        <v>5.2650542805927292E-2</v>
      </c>
      <c r="DJ119" s="14">
        <f t="shared" si="15"/>
        <v>6.2455387056581713E-2</v>
      </c>
      <c r="DK119" s="14">
        <f t="shared" si="15"/>
        <v>3.6447642939799962E-2</v>
      </c>
      <c r="DL119" s="14">
        <f t="shared" si="15"/>
        <v>4.8645738406780381E-2</v>
      </c>
    </row>
    <row r="121" spans="1:116" x14ac:dyDescent="0.35">
      <c r="B121" s="12" t="s">
        <v>333</v>
      </c>
      <c r="CI121" s="10">
        <f t="shared" ref="CI121:DL121" si="16">CI95+CI96</f>
        <v>4.7956251429801782</v>
      </c>
      <c r="CJ121" s="10">
        <f t="shared" si="16"/>
        <v>4.8827738426693976</v>
      </c>
      <c r="CK121" s="10">
        <f t="shared" si="16"/>
        <v>4.9433237333142772</v>
      </c>
      <c r="CL121" s="10">
        <f t="shared" si="16"/>
        <v>5.0958443326362133</v>
      </c>
      <c r="CM121" s="10">
        <f t="shared" si="16"/>
        <v>5.5692714572298634</v>
      </c>
      <c r="CN121" s="10">
        <f t="shared" si="16"/>
        <v>5.6383383385653882</v>
      </c>
      <c r="CO121" s="10">
        <f t="shared" si="16"/>
        <v>5.5525935977701355</v>
      </c>
      <c r="CP121" s="10">
        <f t="shared" si="16"/>
        <v>5.7049114665054832</v>
      </c>
      <c r="CQ121" s="10">
        <f t="shared" si="16"/>
        <v>6.23326759956249</v>
      </c>
      <c r="CR121" s="10">
        <f t="shared" si="16"/>
        <v>6.8017785416344818</v>
      </c>
      <c r="CS121" s="10">
        <f t="shared" si="16"/>
        <v>7.4554954123986601</v>
      </c>
      <c r="CT121" s="10">
        <f t="shared" si="16"/>
        <v>7.8703485275598997</v>
      </c>
      <c r="CU121" s="10">
        <f t="shared" si="16"/>
        <v>7.9345249831894957</v>
      </c>
      <c r="CV121" s="10">
        <f t="shared" si="16"/>
        <v>7.1866254761228667</v>
      </c>
      <c r="CW121" s="10">
        <f t="shared" si="16"/>
        <v>7.2842886716147834</v>
      </c>
      <c r="CX121" s="10">
        <f t="shared" si="16"/>
        <v>7.6816648017135893</v>
      </c>
      <c r="CY121" s="10">
        <f t="shared" si="16"/>
        <v>7.7265105086456183</v>
      </c>
      <c r="CZ121" s="10">
        <f t="shared" si="16"/>
        <v>7.7507622085882044</v>
      </c>
      <c r="DA121" s="10">
        <f t="shared" si="16"/>
        <v>7.8699657402708381</v>
      </c>
      <c r="DB121" s="10">
        <f t="shared" si="16"/>
        <v>7.8236861111322291</v>
      </c>
      <c r="DC121" s="10">
        <f t="shared" si="16"/>
        <v>7.9091272480004218</v>
      </c>
      <c r="DD121" s="10">
        <f t="shared" si="16"/>
        <v>8.1630174432779476</v>
      </c>
      <c r="DE121" s="10">
        <f t="shared" si="16"/>
        <v>8.3149605731666867</v>
      </c>
      <c r="DF121" s="10">
        <f t="shared" si="16"/>
        <v>8.2363359135936296</v>
      </c>
      <c r="DG121" s="10">
        <f t="shared" si="16"/>
        <v>8.5419745423201405</v>
      </c>
      <c r="DH121" s="10">
        <f t="shared" si="16"/>
        <v>8.9729481098367394</v>
      </c>
      <c r="DI121" s="10">
        <f t="shared" si="16"/>
        <v>9.2777318052976945</v>
      </c>
      <c r="DJ121" s="10">
        <f t="shared" si="16"/>
        <v>8.8512905936019806</v>
      </c>
      <c r="DK121" s="10">
        <f t="shared" si="16"/>
        <v>8.2507732981949342</v>
      </c>
      <c r="DL121" s="10">
        <f t="shared" si="16"/>
        <v>7.9273613069344382</v>
      </c>
    </row>
    <row r="123" spans="1:116" x14ac:dyDescent="0.35">
      <c r="B123" t="s">
        <v>335</v>
      </c>
      <c r="CJ123" s="14">
        <f>CJ119+CJ102+CJ110</f>
        <v>-0.10379287620037658</v>
      </c>
      <c r="CK123" s="14">
        <f t="shared" ref="CK123:DL123" si="17">CK119+CK102+CK110</f>
        <v>-0.13291205645335832</v>
      </c>
      <c r="CL123" s="14">
        <f t="shared" si="17"/>
        <v>-0.18234607854065182</v>
      </c>
      <c r="CM123" s="14">
        <f t="shared" si="17"/>
        <v>-0.19670048915696928</v>
      </c>
      <c r="CN123" s="14">
        <f t="shared" si="17"/>
        <v>-0.24240024522275047</v>
      </c>
      <c r="CO123" s="14">
        <f t="shared" si="17"/>
        <v>-0.2136624308493166</v>
      </c>
      <c r="CP123" s="14">
        <f t="shared" si="17"/>
        <v>-0.18557204179966205</v>
      </c>
      <c r="CQ123" s="14">
        <f t="shared" si="17"/>
        <v>-0.1003475753952551</v>
      </c>
      <c r="CR123" s="14">
        <f t="shared" si="17"/>
        <v>-0.15169328376996713</v>
      </c>
      <c r="CS123" s="14">
        <f t="shared" si="17"/>
        <v>-0.12646399059204891</v>
      </c>
      <c r="CT123" s="14">
        <f t="shared" si="17"/>
        <v>-0.23546099862309683</v>
      </c>
      <c r="CU123" s="14">
        <f t="shared" si="17"/>
        <v>-0.19940302485420938</v>
      </c>
      <c r="CV123" s="14">
        <f t="shared" si="17"/>
        <v>-6.3690824437810573E-2</v>
      </c>
      <c r="CW123" s="14">
        <f t="shared" si="17"/>
        <v>-0.21170111805057956</v>
      </c>
      <c r="CX123" s="14">
        <f t="shared" si="17"/>
        <v>-0.14462555976280167</v>
      </c>
      <c r="CY123" s="14">
        <f t="shared" si="17"/>
        <v>-4.7928368606017582E-2</v>
      </c>
      <c r="CZ123" s="14">
        <f t="shared" si="17"/>
        <v>-2.472265677562431E-3</v>
      </c>
      <c r="DA123" s="14">
        <f t="shared" si="17"/>
        <v>7.0342980657849691E-2</v>
      </c>
      <c r="DB123" s="14">
        <f t="shared" si="17"/>
        <v>-0.10085758469484028</v>
      </c>
      <c r="DC123" s="14">
        <f t="shared" si="17"/>
        <v>-9.2427008040722708E-2</v>
      </c>
      <c r="DD123" s="14">
        <f t="shared" si="17"/>
        <v>-1.4376434896906862E-2</v>
      </c>
      <c r="DE123" s="14">
        <f t="shared" si="17"/>
        <v>-0.15525894983707506</v>
      </c>
      <c r="DF123" s="14">
        <f t="shared" si="17"/>
        <v>-0.11369937818407491</v>
      </c>
      <c r="DG123" s="14">
        <f t="shared" si="17"/>
        <v>-0.21528572964752613</v>
      </c>
      <c r="DH123" s="14">
        <f t="shared" si="17"/>
        <v>-3.495821844092302E-2</v>
      </c>
      <c r="DI123" s="14">
        <f t="shared" si="17"/>
        <v>-0.30766126216863121</v>
      </c>
      <c r="DJ123" s="14">
        <f t="shared" si="17"/>
        <v>-3.9505092722599833E-2</v>
      </c>
      <c r="DK123" s="14">
        <f t="shared" si="17"/>
        <v>-9.6281405383479957E-2</v>
      </c>
      <c r="DL123" s="14">
        <f t="shared" si="17"/>
        <v>-0.2155597551276533</v>
      </c>
    </row>
    <row r="125" spans="1:116" x14ac:dyDescent="0.35">
      <c r="B125" t="s">
        <v>339</v>
      </c>
      <c r="CI125" s="10">
        <f>CI121</f>
        <v>4.7956251429801782</v>
      </c>
      <c r="CJ125" s="10">
        <f>CI125</f>
        <v>4.7956251429801782</v>
      </c>
      <c r="CK125" s="10">
        <f t="shared" ref="CK125:DL125" si="18">CJ125</f>
        <v>4.7956251429801782</v>
      </c>
      <c r="CL125" s="10">
        <f t="shared" si="18"/>
        <v>4.7956251429801782</v>
      </c>
      <c r="CM125" s="10">
        <f t="shared" si="18"/>
        <v>4.7956251429801782</v>
      </c>
      <c r="CN125" s="10">
        <f t="shared" si="18"/>
        <v>4.7956251429801782</v>
      </c>
      <c r="CO125" s="10">
        <f t="shared" si="18"/>
        <v>4.7956251429801782</v>
      </c>
      <c r="CP125" s="10">
        <f t="shared" si="18"/>
        <v>4.7956251429801782</v>
      </c>
      <c r="CQ125" s="10">
        <f t="shared" si="18"/>
        <v>4.7956251429801782</v>
      </c>
      <c r="CR125" s="10">
        <f t="shared" si="18"/>
        <v>4.7956251429801782</v>
      </c>
      <c r="CS125" s="10">
        <f t="shared" si="18"/>
        <v>4.7956251429801782</v>
      </c>
      <c r="CT125" s="10">
        <f t="shared" si="18"/>
        <v>4.7956251429801782</v>
      </c>
      <c r="CU125" s="10">
        <f t="shared" si="18"/>
        <v>4.7956251429801782</v>
      </c>
      <c r="CV125" s="10">
        <f t="shared" si="18"/>
        <v>4.7956251429801782</v>
      </c>
      <c r="CW125" s="10">
        <f t="shared" si="18"/>
        <v>4.7956251429801782</v>
      </c>
      <c r="CX125" s="10">
        <f t="shared" si="18"/>
        <v>4.7956251429801782</v>
      </c>
      <c r="CY125" s="10">
        <f t="shared" si="18"/>
        <v>4.7956251429801782</v>
      </c>
      <c r="CZ125" s="10">
        <f t="shared" si="18"/>
        <v>4.7956251429801782</v>
      </c>
      <c r="DA125" s="10">
        <f t="shared" si="18"/>
        <v>4.7956251429801782</v>
      </c>
      <c r="DB125" s="10">
        <f t="shared" si="18"/>
        <v>4.7956251429801782</v>
      </c>
      <c r="DC125" s="10">
        <f t="shared" si="18"/>
        <v>4.7956251429801782</v>
      </c>
      <c r="DD125" s="10">
        <f t="shared" si="18"/>
        <v>4.7956251429801782</v>
      </c>
      <c r="DE125" s="10">
        <f t="shared" si="18"/>
        <v>4.7956251429801782</v>
      </c>
      <c r="DF125" s="10">
        <f t="shared" si="18"/>
        <v>4.7956251429801782</v>
      </c>
      <c r="DG125" s="10">
        <f t="shared" si="18"/>
        <v>4.7956251429801782</v>
      </c>
      <c r="DH125" s="10">
        <f t="shared" si="18"/>
        <v>4.7956251429801782</v>
      </c>
      <c r="DI125" s="10">
        <f t="shared" si="18"/>
        <v>4.7956251429801782</v>
      </c>
      <c r="DJ125" s="10">
        <f t="shared" si="18"/>
        <v>4.7956251429801782</v>
      </c>
      <c r="DK125" s="10">
        <f t="shared" si="18"/>
        <v>4.7956251429801782</v>
      </c>
      <c r="DL125" s="10">
        <f t="shared" si="18"/>
        <v>4.7956251429801782</v>
      </c>
    </row>
    <row r="126" spans="1:116" x14ac:dyDescent="0.35">
      <c r="A126" t="s">
        <v>336</v>
      </c>
      <c r="B126" t="s">
        <v>327</v>
      </c>
      <c r="CJ126" s="14">
        <f>CJ100</f>
        <v>0.13002731771034834</v>
      </c>
      <c r="CK126" s="14">
        <f>CJ126+CK100</f>
        <v>0.26511579143492181</v>
      </c>
      <c r="CL126" s="14">
        <f t="shared" ref="CL126:DL126" si="19">CK126+CL100</f>
        <v>0.39416494519374956</v>
      </c>
      <c r="CM126" s="14">
        <f t="shared" si="19"/>
        <v>0.53391175445159234</v>
      </c>
      <c r="CN126" s="14">
        <f t="shared" si="19"/>
        <v>0.66969833196161788</v>
      </c>
      <c r="CO126" s="14">
        <f t="shared" si="19"/>
        <v>0.81675265038172806</v>
      </c>
      <c r="CP126" s="14">
        <f t="shared" si="19"/>
        <v>0.95538198545937347</v>
      </c>
      <c r="CQ126" s="14">
        <f t="shared" si="19"/>
        <v>1.1015103737868284</v>
      </c>
      <c r="CR126" s="14">
        <f t="shared" si="19"/>
        <v>1.2465947627872918</v>
      </c>
      <c r="CS126" s="14">
        <f t="shared" si="19"/>
        <v>1.3718818379627111</v>
      </c>
      <c r="CT126" s="14">
        <f t="shared" si="19"/>
        <v>1.5121524610302748</v>
      </c>
      <c r="CU126" s="14">
        <f t="shared" si="19"/>
        <v>1.6496194087989016</v>
      </c>
      <c r="CV126" s="14">
        <f t="shared" si="19"/>
        <v>1.8038579222837456</v>
      </c>
      <c r="CW126" s="14">
        <f t="shared" si="19"/>
        <v>1.951294038973296</v>
      </c>
      <c r="CX126" s="14">
        <f t="shared" si="19"/>
        <v>2.1071729235542445</v>
      </c>
      <c r="CY126" s="14">
        <f t="shared" si="19"/>
        <v>2.2495836049181368</v>
      </c>
      <c r="CZ126" s="14">
        <f t="shared" si="19"/>
        <v>2.3866229094551312</v>
      </c>
      <c r="DA126" s="14">
        <f t="shared" si="19"/>
        <v>2.5410863150974201</v>
      </c>
      <c r="DB126" s="14">
        <f t="shared" si="19"/>
        <v>2.6783549163274922</v>
      </c>
      <c r="DC126" s="14">
        <f t="shared" si="19"/>
        <v>2.8131969974677689</v>
      </c>
      <c r="DD126" s="14">
        <f t="shared" si="19"/>
        <v>2.9473129756876828</v>
      </c>
      <c r="DE126" s="14">
        <f t="shared" si="19"/>
        <v>3.0686351801305896</v>
      </c>
      <c r="DF126" s="14">
        <f t="shared" si="19"/>
        <v>3.2041524502633116</v>
      </c>
      <c r="DG126" s="14">
        <f t="shared" si="19"/>
        <v>3.3474799739401466</v>
      </c>
      <c r="DH126" s="14">
        <f t="shared" si="19"/>
        <v>3.5412536643061818</v>
      </c>
      <c r="DI126" s="14">
        <f t="shared" si="19"/>
        <v>3.7115231441046368</v>
      </c>
      <c r="DJ126" s="14">
        <f t="shared" si="19"/>
        <v>3.8763390760359924</v>
      </c>
      <c r="DK126" s="14">
        <f t="shared" si="19"/>
        <v>4.0375336690021184</v>
      </c>
      <c r="DL126" s="14">
        <f t="shared" si="19"/>
        <v>4.2024909413073503</v>
      </c>
    </row>
    <row r="127" spans="1:116" x14ac:dyDescent="0.35">
      <c r="B127" t="s">
        <v>337</v>
      </c>
      <c r="CJ127" s="14">
        <f>CJ106</f>
        <v>0.13022403669989469</v>
      </c>
      <c r="CK127" s="14">
        <f>CJ127+CK106</f>
        <v>0.22489417587677707</v>
      </c>
      <c r="CL127" s="14">
        <f t="shared" ref="CL127:DL127" si="20">CK127+CL106</f>
        <v>0.43707644168581727</v>
      </c>
      <c r="CM127" s="14">
        <f t="shared" si="20"/>
        <v>0.94389089515847047</v>
      </c>
      <c r="CN127" s="14">
        <f t="shared" si="20"/>
        <v>1.2285971137434566</v>
      </c>
      <c r="CO127" s="14">
        <f t="shared" si="20"/>
        <v>1.3038453198850755</v>
      </c>
      <c r="CP127" s="14">
        <f t="shared" si="20"/>
        <v>1.5555302921679024</v>
      </c>
      <c r="CQ127" s="14">
        <f t="shared" si="20"/>
        <v>2.123043037737923</v>
      </c>
      <c r="CR127" s="14">
        <f t="shared" si="20"/>
        <v>2.8228769632747683</v>
      </c>
      <c r="CS127" s="14">
        <f t="shared" si="20"/>
        <v>3.5956226529460369</v>
      </c>
      <c r="CT127" s="14">
        <f t="shared" si="20"/>
        <v>4.2525850069360391</v>
      </c>
      <c r="CU127" s="14">
        <f t="shared" si="20"/>
        <v>4.5201366054927794</v>
      </c>
      <c r="CV127" s="14">
        <f t="shared" si="20"/>
        <v>3.8996714004049964</v>
      </c>
      <c r="CW127" s="14">
        <f t="shared" si="20"/>
        <v>3.9436124008757028</v>
      </c>
      <c r="CX127" s="14">
        <f t="shared" si="20"/>
        <v>4.4161333548329056</v>
      </c>
      <c r="CY127" s="14">
        <f t="shared" si="20"/>
        <v>4.5020678771407319</v>
      </c>
      <c r="CZ127" s="14">
        <f t="shared" si="20"/>
        <v>4.4916078173316505</v>
      </c>
      <c r="DA127" s="14">
        <f t="shared" si="20"/>
        <v>4.4319193787947766</v>
      </c>
      <c r="DB127" s="14">
        <f t="shared" si="20"/>
        <v>4.3586928341723512</v>
      </c>
      <c r="DC127" s="14">
        <f t="shared" si="20"/>
        <v>4.4195033352975255</v>
      </c>
      <c r="DD127" s="14">
        <f t="shared" si="20"/>
        <v>4.5690522924687738</v>
      </c>
      <c r="DE127" s="14">
        <f t="shared" si="20"/>
        <v>4.816014912659349</v>
      </c>
      <c r="DF127" s="14">
        <f t="shared" si="20"/>
        <v>4.8714210216188807</v>
      </c>
      <c r="DG127" s="14">
        <f t="shared" si="20"/>
        <v>5.3120222533021995</v>
      </c>
      <c r="DH127" s="14">
        <f t="shared" si="20"/>
        <v>5.6482088869200577</v>
      </c>
      <c r="DI127" s="14">
        <f t="shared" si="20"/>
        <v>6.2067770798943958</v>
      </c>
      <c r="DJ127" s="14">
        <f t="shared" si="20"/>
        <v>6.0887546961188965</v>
      </c>
      <c r="DK127" s="14">
        <f t="shared" si="20"/>
        <v>5.9989636963920079</v>
      </c>
      <c r="DL127" s="14">
        <f t="shared" si="20"/>
        <v>5.8983327751244481</v>
      </c>
    </row>
    <row r="128" spans="1:116" x14ac:dyDescent="0.35">
      <c r="B128" t="s">
        <v>338</v>
      </c>
      <c r="CJ128" s="14">
        <f>CJ114</f>
        <v>-6.9309778520646972E-2</v>
      </c>
      <c r="CK128" s="14">
        <f>CJ128+CK114</f>
        <v>-0.10560644432386487</v>
      </c>
      <c r="CL128" s="14">
        <f t="shared" ref="CL128:DL128" si="21">CK128+CL114</f>
        <v>-0.11197118602914491</v>
      </c>
      <c r="CM128" s="14">
        <f t="shared" si="21"/>
        <v>-8.8404835009021465E-2</v>
      </c>
      <c r="CN128" s="14">
        <f t="shared" si="21"/>
        <v>-0.19743050454575775</v>
      </c>
      <c r="CO128" s="14">
        <f t="shared" si="21"/>
        <v>-0.29181533905342294</v>
      </c>
      <c r="CP128" s="14">
        <f t="shared" si="21"/>
        <v>-0.34423973587888546</v>
      </c>
      <c r="CQ128" s="14">
        <f t="shared" si="21"/>
        <v>-0.42917716132409911</v>
      </c>
      <c r="CR128" s="14">
        <f t="shared" si="21"/>
        <v>-0.55389125001944906</v>
      </c>
      <c r="CS128" s="14">
        <f t="shared" si="21"/>
        <v>-0.67174315350990976</v>
      </c>
      <c r="CT128" s="14">
        <f t="shared" si="21"/>
        <v>-0.8186620167831391</v>
      </c>
      <c r="CU128" s="14">
        <f t="shared" si="21"/>
        <v>-0.96010108262470073</v>
      </c>
      <c r="CV128" s="14">
        <f t="shared" si="21"/>
        <v>-1.1780830736505803</v>
      </c>
      <c r="CW128" s="14">
        <f t="shared" si="21"/>
        <v>-1.0600958772683406</v>
      </c>
      <c r="CX128" s="14">
        <f t="shared" si="21"/>
        <v>-1.1464940259448848</v>
      </c>
      <c r="CY128" s="14">
        <f t="shared" si="21"/>
        <v>-1.282065154078557</v>
      </c>
      <c r="CZ128" s="14">
        <f t="shared" si="21"/>
        <v>-1.3819204331863217</v>
      </c>
      <c r="DA128" s="14">
        <f t="shared" si="21"/>
        <v>-1.4278348492669533</v>
      </c>
      <c r="DB128" s="14">
        <f t="shared" si="21"/>
        <v>-1.4372989503183684</v>
      </c>
      <c r="DC128" s="14">
        <f t="shared" si="21"/>
        <v>-1.4550833876749041</v>
      </c>
      <c r="DD128" s="14">
        <f t="shared" si="21"/>
        <v>-1.4704816928916338</v>
      </c>
      <c r="DE128" s="14">
        <f t="shared" si="21"/>
        <v>-1.5315644377993014</v>
      </c>
      <c r="DF128" s="14">
        <f t="shared" si="21"/>
        <v>-1.6874130982805373</v>
      </c>
      <c r="DG128" s="14">
        <f t="shared" si="21"/>
        <v>-1.7504174952666538</v>
      </c>
      <c r="DH128" s="14">
        <f t="shared" si="21"/>
        <v>-1.8144460332930252</v>
      </c>
      <c r="DI128" s="14">
        <f t="shared" si="21"/>
        <v>-1.9308387484362322</v>
      </c>
      <c r="DJ128" s="14">
        <f t="shared" si="21"/>
        <v>-2.3645684155652029</v>
      </c>
      <c r="DK128" s="14">
        <f t="shared" si="21"/>
        <v>-2.9402078988280058</v>
      </c>
      <c r="DL128" s="14">
        <f t="shared" si="21"/>
        <v>-3.1123864859985213</v>
      </c>
    </row>
    <row r="129" spans="2:116" x14ac:dyDescent="0.35">
      <c r="B129" t="s">
        <v>334</v>
      </c>
      <c r="CJ129" s="14">
        <f>CJ123</f>
        <v>-0.10379287620037658</v>
      </c>
      <c r="CK129" s="14">
        <f>CJ129+CK123</f>
        <v>-0.23670493265373491</v>
      </c>
      <c r="CL129" s="14">
        <f t="shared" ref="CL129:DL129" si="22">CK129+CL123</f>
        <v>-0.4190510111943867</v>
      </c>
      <c r="CM129" s="14">
        <f t="shared" si="22"/>
        <v>-0.61575150035135595</v>
      </c>
      <c r="CN129" s="14">
        <f t="shared" si="22"/>
        <v>-0.85815174557410645</v>
      </c>
      <c r="CO129" s="14">
        <f t="shared" si="22"/>
        <v>-1.071814176423423</v>
      </c>
      <c r="CP129" s="14">
        <f t="shared" si="22"/>
        <v>-1.2573862182230851</v>
      </c>
      <c r="CQ129" s="14">
        <f t="shared" si="22"/>
        <v>-1.3577337936183402</v>
      </c>
      <c r="CR129" s="14">
        <f t="shared" si="22"/>
        <v>-1.5094270773883074</v>
      </c>
      <c r="CS129" s="14">
        <f t="shared" si="22"/>
        <v>-1.6358910679803562</v>
      </c>
      <c r="CT129" s="14">
        <f t="shared" si="22"/>
        <v>-1.8713520666034531</v>
      </c>
      <c r="CU129" s="14">
        <f t="shared" si="22"/>
        <v>-2.0707550914576625</v>
      </c>
      <c r="CV129" s="14">
        <f t="shared" si="22"/>
        <v>-2.1344459158954732</v>
      </c>
      <c r="CW129" s="14">
        <f t="shared" si="22"/>
        <v>-2.3461470339460528</v>
      </c>
      <c r="CX129" s="14">
        <f t="shared" si="22"/>
        <v>-2.4907725937088543</v>
      </c>
      <c r="CY129" s="14">
        <f t="shared" si="22"/>
        <v>-2.5387009623148717</v>
      </c>
      <c r="CZ129" s="14">
        <f t="shared" si="22"/>
        <v>-2.5411732279924344</v>
      </c>
      <c r="DA129" s="14">
        <f t="shared" si="22"/>
        <v>-2.4708302473345847</v>
      </c>
      <c r="DB129" s="14">
        <f t="shared" si="22"/>
        <v>-2.5716878320294247</v>
      </c>
      <c r="DC129" s="14">
        <f t="shared" si="22"/>
        <v>-2.6641148400701473</v>
      </c>
      <c r="DD129" s="14">
        <f t="shared" si="22"/>
        <v>-2.6784912749670542</v>
      </c>
      <c r="DE129" s="14">
        <f t="shared" si="22"/>
        <v>-2.8337502248041293</v>
      </c>
      <c r="DF129" s="14">
        <f t="shared" si="22"/>
        <v>-2.947449602988204</v>
      </c>
      <c r="DG129" s="14">
        <f t="shared" si="22"/>
        <v>-3.1627353326357301</v>
      </c>
      <c r="DH129" s="14">
        <f t="shared" si="22"/>
        <v>-3.1976935510766533</v>
      </c>
      <c r="DI129" s="14">
        <f t="shared" si="22"/>
        <v>-3.5053548132452845</v>
      </c>
      <c r="DJ129" s="14">
        <f t="shared" si="22"/>
        <v>-3.5448599059678845</v>
      </c>
      <c r="DK129" s="14">
        <f t="shared" si="22"/>
        <v>-3.6411413113513644</v>
      </c>
      <c r="DL129" s="14">
        <f t="shared" si="22"/>
        <v>-3.8567010664790176</v>
      </c>
    </row>
  </sheetData>
  <mergeCells count="7">
    <mergeCell ref="A98:A99"/>
    <mergeCell ref="A104:A105"/>
    <mergeCell ref="A68:A70"/>
    <mergeCell ref="A72:A74"/>
    <mergeCell ref="A76:A78"/>
    <mergeCell ref="A86:A87"/>
    <mergeCell ref="A89:A90"/>
  </mergeCells>
  <hyperlinks>
    <hyperlink ref="A66" r:id="rId1" xr:uid="{464CC004-224A-4B9B-8EA1-4D4051AC32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CE2D-8A97-4328-9673-BBA0A57D0819}">
  <dimension ref="A1:AF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8" sqref="A8"/>
    </sheetView>
  </sheetViews>
  <sheetFormatPr baseColWidth="10" defaultColWidth="8.81640625" defaultRowHeight="14.5" x14ac:dyDescent="0.35"/>
  <cols>
    <col min="1" max="1" width="67.1796875" style="21" customWidth="1"/>
    <col min="2" max="31" width="13" customWidth="1"/>
    <col min="32" max="148" width="13" style="21" customWidth="1"/>
    <col min="149" max="16384" width="8.81640625" style="21"/>
  </cols>
  <sheetData>
    <row r="1" spans="1:32" x14ac:dyDescent="0.35">
      <c r="A1" s="21" t="s">
        <v>340</v>
      </c>
      <c r="B1" s="21">
        <v>1995</v>
      </c>
      <c r="C1" s="22">
        <v>1996</v>
      </c>
      <c r="D1" s="22">
        <v>1997</v>
      </c>
      <c r="E1" s="22">
        <v>1998</v>
      </c>
      <c r="F1" s="22">
        <v>1999</v>
      </c>
      <c r="G1" s="22">
        <v>2000</v>
      </c>
      <c r="H1" s="22">
        <v>2001</v>
      </c>
      <c r="I1" s="22">
        <v>2002</v>
      </c>
      <c r="J1" s="22">
        <v>2003</v>
      </c>
      <c r="K1" s="22">
        <v>2004</v>
      </c>
      <c r="L1" s="22">
        <v>2005</v>
      </c>
      <c r="M1" s="22">
        <v>2006</v>
      </c>
      <c r="N1" s="22">
        <v>2007</v>
      </c>
      <c r="O1" s="22">
        <v>2008</v>
      </c>
      <c r="P1" s="22">
        <v>2009</v>
      </c>
      <c r="Q1" s="22">
        <v>2010</v>
      </c>
      <c r="R1" s="22">
        <v>2011</v>
      </c>
      <c r="S1" s="22">
        <v>2012</v>
      </c>
      <c r="T1" s="22">
        <v>2013</v>
      </c>
      <c r="U1" s="22">
        <v>2014</v>
      </c>
      <c r="V1" s="22">
        <v>2015</v>
      </c>
      <c r="W1" s="22">
        <v>2016</v>
      </c>
      <c r="X1" s="22">
        <v>2017</v>
      </c>
      <c r="Y1" s="22">
        <v>2018</v>
      </c>
      <c r="Z1" s="22">
        <v>2019</v>
      </c>
      <c r="AA1" s="22">
        <v>2020</v>
      </c>
      <c r="AB1" s="22">
        <v>2021</v>
      </c>
      <c r="AC1" s="22">
        <v>2022</v>
      </c>
      <c r="AD1" s="22">
        <v>2023</v>
      </c>
      <c r="AE1" s="22">
        <v>2024</v>
      </c>
      <c r="AF1" s="22"/>
    </row>
    <row r="2" spans="1:32" x14ac:dyDescent="0.35">
      <c r="A2" s="21" t="s">
        <v>341</v>
      </c>
      <c r="B2">
        <v>4.7956251429801782</v>
      </c>
      <c r="C2">
        <v>4.7956251429801782</v>
      </c>
      <c r="D2">
        <v>4.7956251429801782</v>
      </c>
      <c r="E2">
        <v>4.7956251429801782</v>
      </c>
      <c r="F2">
        <v>4.7956251429801782</v>
      </c>
      <c r="G2">
        <v>4.7956251429801782</v>
      </c>
      <c r="H2">
        <v>4.7956251429801782</v>
      </c>
      <c r="I2">
        <v>4.7956251429801782</v>
      </c>
      <c r="J2">
        <v>4.7956251429801782</v>
      </c>
      <c r="K2">
        <v>4.7956251429801782</v>
      </c>
      <c r="L2">
        <v>4.7956251429801782</v>
      </c>
      <c r="M2">
        <v>4.7956251429801782</v>
      </c>
      <c r="N2">
        <v>4.7956251429801782</v>
      </c>
      <c r="O2">
        <v>4.7956251429801782</v>
      </c>
      <c r="P2">
        <v>4.7956251429801782</v>
      </c>
      <c r="Q2">
        <v>4.7956251429801782</v>
      </c>
      <c r="R2">
        <v>4.7956251429801782</v>
      </c>
      <c r="S2">
        <v>4.7956251429801782</v>
      </c>
      <c r="T2">
        <v>4.7956251429801782</v>
      </c>
      <c r="U2">
        <v>4.7956251429801782</v>
      </c>
      <c r="V2">
        <v>4.7956251429801782</v>
      </c>
      <c r="W2">
        <v>4.7956251429801782</v>
      </c>
      <c r="X2">
        <v>4.7956251429801782</v>
      </c>
      <c r="Y2">
        <v>4.7956251429801782</v>
      </c>
      <c r="Z2">
        <v>4.7956251429801782</v>
      </c>
      <c r="AA2">
        <v>4.7956251429801782</v>
      </c>
      <c r="AB2">
        <v>4.7956251429801782</v>
      </c>
      <c r="AC2">
        <v>4.7956251429801782</v>
      </c>
      <c r="AD2">
        <v>4.7956251429801782</v>
      </c>
      <c r="AE2">
        <v>4.7956251429801782</v>
      </c>
    </row>
    <row r="3" spans="1:32" x14ac:dyDescent="0.35">
      <c r="A3" s="21" t="s">
        <v>342</v>
      </c>
      <c r="C3">
        <v>0.13002731771034834</v>
      </c>
      <c r="D3">
        <v>0.26511579143492181</v>
      </c>
      <c r="E3">
        <v>0.39416494519374956</v>
      </c>
      <c r="F3">
        <v>0.53391175445159234</v>
      </c>
      <c r="G3">
        <v>0.66969833196161788</v>
      </c>
      <c r="H3">
        <v>0.81675265038172806</v>
      </c>
      <c r="I3">
        <v>0.95538198545937347</v>
      </c>
      <c r="J3">
        <v>1.1015103737868284</v>
      </c>
      <c r="K3">
        <v>1.2465947627872918</v>
      </c>
      <c r="L3">
        <v>1.3718818379627111</v>
      </c>
      <c r="M3">
        <v>1.5121524610302748</v>
      </c>
      <c r="N3">
        <v>1.6496194087989016</v>
      </c>
      <c r="O3">
        <v>1.8038579222837456</v>
      </c>
      <c r="P3">
        <v>1.951294038973296</v>
      </c>
      <c r="Q3">
        <v>2.1071729235542445</v>
      </c>
      <c r="R3">
        <v>2.2495836049181368</v>
      </c>
      <c r="S3">
        <v>2.3866229094551312</v>
      </c>
      <c r="T3">
        <v>2.5410863150974201</v>
      </c>
      <c r="U3">
        <v>2.6783549163274922</v>
      </c>
      <c r="V3">
        <v>2.8131969974677689</v>
      </c>
      <c r="W3">
        <v>2.9473129756876828</v>
      </c>
      <c r="X3">
        <v>3.0686351801305896</v>
      </c>
      <c r="Y3">
        <v>3.2041524502633116</v>
      </c>
      <c r="Z3">
        <v>3.3474799739401466</v>
      </c>
      <c r="AA3">
        <v>3.5412536643061818</v>
      </c>
      <c r="AB3">
        <v>3.7115231441046368</v>
      </c>
      <c r="AC3">
        <v>3.8763390760359924</v>
      </c>
      <c r="AD3">
        <v>4.0375336690021184</v>
      </c>
      <c r="AE3">
        <v>4.2024909413073503</v>
      </c>
    </row>
    <row r="4" spans="1:32" x14ac:dyDescent="0.35">
      <c r="A4" s="21" t="s">
        <v>343</v>
      </c>
      <c r="C4">
        <v>0.13022403669989469</v>
      </c>
      <c r="D4">
        <v>0.22489417587677707</v>
      </c>
      <c r="E4">
        <v>0.43707644168581727</v>
      </c>
      <c r="F4">
        <v>0.94389089515847047</v>
      </c>
      <c r="G4">
        <v>1.2285971137434566</v>
      </c>
      <c r="H4">
        <v>1.3038453198850755</v>
      </c>
      <c r="I4">
        <v>1.5555302921679024</v>
      </c>
      <c r="J4">
        <v>2.123043037737923</v>
      </c>
      <c r="K4">
        <v>2.8228769632747683</v>
      </c>
      <c r="L4">
        <v>3.5956226529460369</v>
      </c>
      <c r="M4">
        <v>4.2525850069360391</v>
      </c>
      <c r="N4">
        <v>4.5201366054927794</v>
      </c>
      <c r="O4">
        <v>3.8996714004049964</v>
      </c>
      <c r="P4">
        <v>3.9436124008757028</v>
      </c>
      <c r="Q4">
        <v>4.4161333548329056</v>
      </c>
      <c r="R4">
        <v>4.5020678771407319</v>
      </c>
      <c r="S4">
        <v>4.4916078173316505</v>
      </c>
      <c r="T4">
        <v>4.4319193787947766</v>
      </c>
      <c r="U4">
        <v>4.3586928341723512</v>
      </c>
      <c r="V4">
        <v>4.4195033352975255</v>
      </c>
      <c r="W4">
        <v>4.5690522924687738</v>
      </c>
      <c r="X4">
        <v>4.816014912659349</v>
      </c>
      <c r="Y4">
        <v>4.8714210216188807</v>
      </c>
      <c r="Z4">
        <v>5.3120222533021995</v>
      </c>
      <c r="AA4">
        <v>5.6482088869200577</v>
      </c>
      <c r="AB4">
        <v>6.2067770798943958</v>
      </c>
      <c r="AC4">
        <v>6.0887546961188965</v>
      </c>
      <c r="AD4">
        <v>5.9989636963920079</v>
      </c>
      <c r="AE4">
        <v>5.8983327751244481</v>
      </c>
    </row>
    <row r="5" spans="1:32" x14ac:dyDescent="0.35">
      <c r="A5" s="21" t="s">
        <v>344</v>
      </c>
      <c r="C5">
        <v>-6.9309778520646972E-2</v>
      </c>
      <c r="D5">
        <v>-0.10560644432386487</v>
      </c>
      <c r="E5">
        <v>-0.11197118602914491</v>
      </c>
      <c r="F5">
        <v>-8.8404835009021465E-2</v>
      </c>
      <c r="G5">
        <v>-0.19743050454575775</v>
      </c>
      <c r="H5">
        <v>-0.29181533905342294</v>
      </c>
      <c r="I5">
        <v>-0.34423973587888546</v>
      </c>
      <c r="J5">
        <v>-0.42917716132409911</v>
      </c>
      <c r="K5">
        <v>-0.55389125001944906</v>
      </c>
      <c r="L5">
        <v>-0.67174315350990976</v>
      </c>
      <c r="M5">
        <v>-0.8186620167831391</v>
      </c>
      <c r="N5">
        <v>-0.96010108262470073</v>
      </c>
      <c r="O5">
        <v>-1.1780830736505803</v>
      </c>
      <c r="P5">
        <v>-1.0600958772683406</v>
      </c>
      <c r="Q5">
        <v>-1.1464940259448848</v>
      </c>
      <c r="R5">
        <v>-1.282065154078557</v>
      </c>
      <c r="S5">
        <v>-1.3819204331863217</v>
      </c>
      <c r="T5">
        <v>-1.4278348492669533</v>
      </c>
      <c r="U5">
        <v>-1.4372989503183684</v>
      </c>
      <c r="V5">
        <v>-1.4550833876749041</v>
      </c>
      <c r="W5">
        <v>-1.4704816928916338</v>
      </c>
      <c r="X5">
        <v>-1.5315644377993014</v>
      </c>
      <c r="Y5">
        <v>-1.6874130982805373</v>
      </c>
      <c r="Z5">
        <v>-1.7504174952666538</v>
      </c>
      <c r="AA5">
        <v>-1.8144460332930252</v>
      </c>
      <c r="AB5">
        <v>-1.9308387484362322</v>
      </c>
      <c r="AC5">
        <v>-2.3645684155652029</v>
      </c>
      <c r="AD5">
        <v>-2.9402078988280058</v>
      </c>
      <c r="AE5">
        <v>-3.1123864859985213</v>
      </c>
    </row>
    <row r="6" spans="1:32" x14ac:dyDescent="0.35">
      <c r="A6" s="21" t="s">
        <v>345</v>
      </c>
      <c r="C6">
        <v>-0.10379287620037658</v>
      </c>
      <c r="D6">
        <v>-0.23670493265373491</v>
      </c>
      <c r="E6">
        <v>-0.4190510111943867</v>
      </c>
      <c r="F6">
        <v>-0.61575150035135595</v>
      </c>
      <c r="G6">
        <v>-0.85815174557410645</v>
      </c>
      <c r="H6">
        <v>-1.071814176423423</v>
      </c>
      <c r="I6">
        <v>-1.2573862182230851</v>
      </c>
      <c r="J6">
        <v>-1.3577337936183402</v>
      </c>
      <c r="K6">
        <v>-1.5094270773883074</v>
      </c>
      <c r="L6">
        <v>-1.6358910679803562</v>
      </c>
      <c r="M6">
        <v>-1.8713520666034531</v>
      </c>
      <c r="N6">
        <v>-2.0707550914576625</v>
      </c>
      <c r="O6">
        <v>-2.1344459158954732</v>
      </c>
      <c r="P6">
        <v>-2.3461470339460528</v>
      </c>
      <c r="Q6">
        <v>-2.4907725937088543</v>
      </c>
      <c r="R6">
        <v>-2.5387009623148717</v>
      </c>
      <c r="S6">
        <v>-2.5411732279924344</v>
      </c>
      <c r="T6">
        <v>-2.4708302473345847</v>
      </c>
      <c r="U6">
        <v>-2.5716878320294247</v>
      </c>
      <c r="V6">
        <v>-2.6641148400701473</v>
      </c>
      <c r="W6">
        <v>-2.6784912749670542</v>
      </c>
      <c r="X6">
        <v>-2.8337502248041293</v>
      </c>
      <c r="Y6">
        <v>-2.947449602988204</v>
      </c>
      <c r="Z6">
        <v>-3.1627353326357301</v>
      </c>
      <c r="AA6">
        <v>-3.1976935510766533</v>
      </c>
      <c r="AB6">
        <v>-3.5053548132452845</v>
      </c>
      <c r="AC6">
        <v>-3.5448599059678845</v>
      </c>
      <c r="AD6">
        <v>-3.6411413113513644</v>
      </c>
      <c r="AE6">
        <v>-3.8567010664790176</v>
      </c>
    </row>
    <row r="7" spans="1:32" x14ac:dyDescent="0.35">
      <c r="A7" s="21" t="s">
        <v>346</v>
      </c>
      <c r="B7">
        <v>4.7956251429801782</v>
      </c>
      <c r="C7">
        <v>4.8827738426693976</v>
      </c>
      <c r="D7">
        <v>4.9433237333142772</v>
      </c>
      <c r="E7">
        <v>5.0958443326362142</v>
      </c>
      <c r="F7">
        <v>5.5692714572298634</v>
      </c>
      <c r="G7">
        <v>5.6383383385653874</v>
      </c>
      <c r="H7">
        <v>5.5525935977701355</v>
      </c>
      <c r="I7">
        <v>5.7049114665054832</v>
      </c>
      <c r="J7">
        <v>6.2332675995624909</v>
      </c>
      <c r="K7">
        <v>6.8017785416344818</v>
      </c>
      <c r="L7">
        <v>7.4554954123986601</v>
      </c>
      <c r="M7">
        <v>7.8703485275598979</v>
      </c>
      <c r="N7">
        <v>7.9345249831894975</v>
      </c>
      <c r="O7">
        <v>7.1866254761228667</v>
      </c>
      <c r="P7">
        <v>7.2842886716147834</v>
      </c>
      <c r="Q7">
        <v>7.6816648017135893</v>
      </c>
      <c r="R7">
        <v>7.7265105086456174</v>
      </c>
      <c r="S7">
        <v>7.7507622085882044</v>
      </c>
      <c r="T7">
        <v>7.8699657402708389</v>
      </c>
      <c r="U7">
        <v>7.82368611113223</v>
      </c>
      <c r="V7">
        <v>7.9091272480004209</v>
      </c>
      <c r="W7">
        <v>8.1630174432779459</v>
      </c>
      <c r="X7">
        <v>8.3149605731666867</v>
      </c>
      <c r="Y7">
        <v>8.2363359135936296</v>
      </c>
      <c r="Z7">
        <v>8.5419745423201405</v>
      </c>
      <c r="AA7">
        <v>8.9729481098367394</v>
      </c>
      <c r="AB7">
        <v>9.2777318052976945</v>
      </c>
      <c r="AC7">
        <v>8.8512905936019823</v>
      </c>
      <c r="AD7">
        <v>8.2507732981949324</v>
      </c>
      <c r="AE7">
        <v>7.9273613069344382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4</vt:i4>
      </vt:variant>
    </vt:vector>
  </HeadingPairs>
  <TitlesOfParts>
    <vt:vector size="8" baseType="lpstr">
      <vt:lpstr>Métadonnées</vt:lpstr>
      <vt:lpstr>Niveau</vt:lpstr>
      <vt:lpstr>Variations</vt:lpstr>
      <vt:lpstr>Variations 2</vt:lpstr>
      <vt:lpstr>Graphique1</vt:lpstr>
      <vt:lpstr>Graphique2</vt:lpstr>
      <vt:lpstr>Graphique3</vt:lpstr>
      <vt:lpstr>Graphique4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Xavier Timbeau</cp:lastModifiedBy>
  <dcterms:created xsi:type="dcterms:W3CDTF">2025-10-17T07:15:23Z</dcterms:created>
  <dcterms:modified xsi:type="dcterms:W3CDTF">2026-06-18T10:19:19Z</dcterms:modified>
</cp:coreProperties>
</file>